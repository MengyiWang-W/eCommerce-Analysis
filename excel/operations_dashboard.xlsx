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carmenwang\projects\eCommerce Analysis\excel\"/>
    </mc:Choice>
  </mc:AlternateContent>
  <xr:revisionPtr revIDLastSave="0" documentId="13_ncr:1_{85342646-8572-49CF-B4C8-CDFC34ECAB9C}" xr6:coauthVersionLast="47" xr6:coauthVersionMax="47" xr10:uidLastSave="{00000000-0000-0000-0000-000000000000}"/>
  <bookViews>
    <workbookView xWindow="0" yWindow="218" windowWidth="12825" windowHeight="9030" tabRatio="847" xr2:uid="{00000000-000D-0000-FFFF-FFFF00000000}"/>
  </bookViews>
  <sheets>
    <sheet name="agg_orders_daily_revenue" sheetId="3" r:id="rId1"/>
    <sheet name="pivot_Year_revenue" sheetId="11" r:id="rId2"/>
    <sheet name="pivot_WeekdayWeekend_revenue" sheetId="14" r:id="rId3"/>
    <sheet name="agg_orders_monthly_revenue" sheetId="4" r:id="rId4"/>
    <sheet name="pivot_YoY_MoM" sheetId="18" r:id="rId5"/>
    <sheet name="agg_orders_channel_revenue" sheetId="2" r:id="rId6"/>
  </sheets>
  <definedNames>
    <definedName name="ExternalData_1" localSheetId="5" hidden="1">agg_orders_channel_revenue!$A$1:$D$4</definedName>
    <definedName name="ExternalData_2" localSheetId="0" hidden="1">agg_orders_daily_revenue!$A$1:$D$732</definedName>
    <definedName name="ExternalData_3" localSheetId="3" hidden="1">agg_orders_monthly_revenue!$A$1:$F$25</definedName>
    <definedName name="ExternalData_5" localSheetId="5" hidden="1">agg_orders_channel_revenue!$A$30:$C$36</definedName>
    <definedName name="ExternalData_6" localSheetId="5" hidden="1">agg_orders_channel_revenue!$A$16:$C$22</definedName>
    <definedName name="ExternalData_7" localSheetId="5" hidden="1">agg_orders_channel_revenue!$A$43:$D$47</definedName>
    <definedName name="Slicer_Year">#N/A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J2"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J14" i="4"/>
  <c r="E14" i="4" s="1"/>
  <c r="E15" i="4"/>
  <c r="B2" i="4"/>
  <c r="B3" i="4"/>
  <c r="B4" i="4"/>
  <c r="B5" i="4"/>
  <c r="B6" i="4"/>
  <c r="B7" i="4"/>
  <c r="B8" i="4"/>
  <c r="B9" i="4"/>
  <c r="B10" i="4"/>
  <c r="B11" i="4"/>
  <c r="B12" i="4"/>
  <c r="B13" i="4"/>
  <c r="B14" i="4"/>
  <c r="B15" i="4"/>
  <c r="B16" i="4"/>
  <c r="B17" i="4"/>
  <c r="B18" i="4"/>
  <c r="B19" i="4"/>
  <c r="B20" i="4"/>
  <c r="B21" i="4"/>
  <c r="B22" i="4"/>
  <c r="B23" i="4"/>
  <c r="B24" i="4"/>
  <c r="B25" i="4"/>
  <c r="G2" i="4"/>
  <c r="G3" i="4"/>
  <c r="G4" i="4"/>
  <c r="G5" i="4"/>
  <c r="G6" i="4"/>
  <c r="G7" i="4"/>
  <c r="G8" i="4"/>
  <c r="G9" i="4"/>
  <c r="G10" i="4"/>
  <c r="G11" i="4"/>
  <c r="G12" i="4"/>
  <c r="G13" i="4"/>
  <c r="G14" i="4"/>
  <c r="G15" i="4"/>
  <c r="G16" i="4"/>
  <c r="G17" i="4"/>
  <c r="G18" i="4"/>
  <c r="G19" i="4"/>
  <c r="G20" i="4"/>
  <c r="G21" i="4"/>
  <c r="G22" i="4"/>
  <c r="G23" i="4"/>
  <c r="G24" i="4"/>
  <c r="G25" i="4"/>
  <c r="H2" i="4"/>
  <c r="H3" i="4"/>
  <c r="H4" i="4"/>
  <c r="H5" i="4"/>
  <c r="H6" i="4"/>
  <c r="H7" i="4"/>
  <c r="H8" i="4"/>
  <c r="H9" i="4"/>
  <c r="H10" i="4"/>
  <c r="H11" i="4"/>
  <c r="H12" i="4"/>
  <c r="H13" i="4"/>
  <c r="H14" i="4"/>
  <c r="H15" i="4"/>
  <c r="H16" i="4"/>
  <c r="H17" i="4"/>
  <c r="H18" i="4"/>
  <c r="H19" i="4"/>
  <c r="H20" i="4"/>
  <c r="H21" i="4"/>
  <c r="H22" i="4"/>
  <c r="H23" i="4"/>
  <c r="H24" i="4"/>
  <c r="H25" i="4"/>
  <c r="I2" i="4"/>
  <c r="I3" i="4"/>
  <c r="I4" i="4"/>
  <c r="I5" i="4"/>
  <c r="I6" i="4"/>
  <c r="I7" i="4"/>
  <c r="I8" i="4"/>
  <c r="I9" i="4"/>
  <c r="I10" i="4"/>
  <c r="I11" i="4"/>
  <c r="I12" i="4"/>
  <c r="I13" i="4"/>
  <c r="I14" i="4"/>
  <c r="I15" i="4"/>
  <c r="I16" i="4"/>
  <c r="I17" i="4"/>
  <c r="I18" i="4"/>
  <c r="I19" i="4"/>
  <c r="I20" i="4"/>
  <c r="I21" i="4"/>
  <c r="I22" i="4"/>
  <c r="I23" i="4"/>
  <c r="I24" i="4"/>
  <c r="I25" i="4"/>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J9" i="4" l="1"/>
  <c r="E9" i="4" s="1"/>
  <c r="J21" i="4"/>
  <c r="E21" i="4" s="1"/>
  <c r="J13" i="4"/>
  <c r="E13" i="4" s="1"/>
  <c r="J5" i="4"/>
  <c r="E5" i="4" s="1"/>
  <c r="J20" i="4"/>
  <c r="E20" i="4" s="1"/>
  <c r="J12" i="4"/>
  <c r="E12" i="4" s="1"/>
  <c r="J4" i="4"/>
  <c r="E4" i="4" s="1"/>
  <c r="J24" i="4"/>
  <c r="E24" i="4" s="1"/>
  <c r="J16" i="4"/>
  <c r="E16" i="4" s="1"/>
  <c r="J8" i="4"/>
  <c r="E8" i="4" s="1"/>
  <c r="J23" i="4"/>
  <c r="E23" i="4" s="1"/>
  <c r="J15" i="4"/>
  <c r="J7" i="4"/>
  <c r="E7" i="4" s="1"/>
  <c r="J19" i="4"/>
  <c r="E19" i="4" s="1"/>
  <c r="J11" i="4"/>
  <c r="E11" i="4" s="1"/>
  <c r="J3" i="4"/>
  <c r="E3" i="4" s="1"/>
  <c r="J25" i="4"/>
  <c r="E25" i="4" s="1"/>
  <c r="J17" i="4"/>
  <c r="E17" i="4" s="1"/>
  <c r="J22" i="4"/>
  <c r="E22" i="4" s="1"/>
  <c r="J6" i="4"/>
  <c r="E6" i="4" s="1"/>
  <c r="J18" i="4"/>
  <c r="E18" i="4" s="1"/>
  <c r="J10" i="4"/>
  <c r="E10" i="4" s="1"/>
  <c r="J2" i="4"/>
  <c r="E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670E65-4800-4885-8908-8B1485670612}" keepAlive="1" name="Query - agg_orders_channel_revenue" description="Connection to the 'agg_orders_channel_revenue' query in the workbook." type="5" refreshedVersion="8" background="1" saveData="1">
    <dbPr connection="Provider=Microsoft.Mashup.OleDb.1;Data Source=$Workbook$;Location=agg_orders_channel_revenue;Extended Properties=&quot;&quot;" command="SELECT * FROM [agg_orders_channel_revenue]"/>
  </connection>
  <connection id="2" xr16:uid="{667369FB-D963-4973-854A-3BB8E4394476}" keepAlive="1" name="Query - agg_orders_daily_revenue" description="Connection to the 'agg_orders_daily_revenue' query in the workbook." type="5" refreshedVersion="8" background="1" saveData="1">
    <dbPr connection="Provider=Microsoft.Mashup.OleDb.1;Data Source=$Workbook$;Location=agg_orders_daily_revenue;Extended Properties=&quot;&quot;" command="SELECT * FROM [agg_orders_daily_revenue]"/>
  </connection>
  <connection id="3" xr16:uid="{0870C693-05F9-47B8-9935-ADA4F2EE1844}" keepAlive="1" name="Query - agg_orders_monthly_revenue" description="Connection to the 'agg_orders_monthly_revenue' query in the workbook." type="5" refreshedVersion="8" background="1" saveData="1">
    <dbPr connection="Provider=Microsoft.Mashup.OleDb.1;Data Source=$Workbook$;Location=agg_orders_monthly_revenue;Extended Properties=&quot;&quot;" command="SELECT * FROM [agg_orders_monthly_revenue]"/>
  </connection>
  <connection id="4" xr16:uid="{B5CE5E58-CA2C-4EFD-8CF0-353E34EDA30C}" keepAlive="1" name="Query - agg_orders_payment_method_share" description="Connection to the 'agg_orders_payment_method_share' query in the workbook." type="5" refreshedVersion="8" background="1" saveData="1">
    <dbPr connection="Provider=Microsoft.Mashup.OleDb.1;Data Source=$Workbook$;Location=agg_orders_payment_method_share;Extended Properties=&quot;&quot;" command="SELECT * FROM [agg_orders_payment_method_share]"/>
  </connection>
  <connection id="5" xr16:uid="{32AC82C4-C6FB-44AC-ABCE-BE0121BFB94A}" keepAlive="1" name="Query - agg_orders_payment_method_share (2)" description="Connection to the 'agg_orders_payment_method_share (2)' query in the workbook." type="5" refreshedVersion="8" background="1" saveData="1">
    <dbPr connection="Provider=Microsoft.Mashup.OleDb.1;Data Source=$Workbook$;Location=&quot;agg_orders_payment_method_share (2)&quot;;Extended Properties=&quot;&quot;" command="SELECT * FROM [agg_orders_payment_method_share (2)]"/>
  </connection>
  <connection id="6" xr16:uid="{BFAC2E0B-D708-42B7-AE36-F7F4ADBEAB12}" keepAlive="1" name="Query - agg_orders_shopify_revenue" description="Connection to the 'agg_orders_shopify_revenue' query in the workbook." type="5" refreshedVersion="8" background="1" saveData="1">
    <dbPr connection="Provider=Microsoft.Mashup.OleDb.1;Data Source=$Workbook$;Location=agg_orders_shopify_revenue;Extended Properties=&quot;&quot;" command="SELECT * FROM [agg_orders_shopify_revenue]"/>
  </connection>
  <connection id="7" xr16:uid="{DAA3BB8F-39E0-4D5B-A2C6-D5466755677E}" keepAlive="1" name="Query - agg_orders_taobao_revenue" description="Connection to the 'agg_orders_taobao_revenue' query in the workbook." type="5" refreshedVersion="8" background="1" saveData="1">
    <dbPr connection="Provider=Microsoft.Mashup.OleDb.1;Data Source=$Workbook$;Location=agg_orders_taobao_revenue;Extended Properties=&quot;&quot;" command="SELECT * FROM [agg_orders_taobao_revenue]"/>
  </connection>
</connections>
</file>

<file path=xl/sharedStrings.xml><?xml version="1.0" encoding="utf-8"?>
<sst xmlns="http://schemas.openxmlformats.org/spreadsheetml/2006/main" count="204" uniqueCount="94">
  <si>
    <t>Channel</t>
  </si>
  <si>
    <t>total_revenue</t>
  </si>
  <si>
    <t>share_pct</t>
  </si>
  <si>
    <t>order_count</t>
  </si>
  <si>
    <t>POS</t>
  </si>
  <si>
    <t>Shopify</t>
  </si>
  <si>
    <t>Taobao</t>
  </si>
  <si>
    <t>Order_Date</t>
  </si>
  <si>
    <t>daily_revenue</t>
  </si>
  <si>
    <t>revenue_7d_ma</t>
  </si>
  <si>
    <t>monthly_revenue</t>
  </si>
  <si>
    <t>Payment_Method</t>
  </si>
  <si>
    <t>pct_within_pos</t>
  </si>
  <si>
    <t>Alipay</t>
  </si>
  <si>
    <t>Cash</t>
  </si>
  <si>
    <t>Credit Card</t>
  </si>
  <si>
    <t>WeChat Pay</t>
  </si>
  <si>
    <t>City</t>
  </si>
  <si>
    <t>Chicago</t>
  </si>
  <si>
    <t>Houston</t>
  </si>
  <si>
    <t>LA</t>
  </si>
  <si>
    <t>Miami</t>
  </si>
  <si>
    <t>New York</t>
  </si>
  <si>
    <t>Seattle</t>
  </si>
  <si>
    <t>Product_Category</t>
  </si>
  <si>
    <t>Books</t>
  </si>
  <si>
    <t>Clothing</t>
  </si>
  <si>
    <t>Electronics</t>
  </si>
  <si>
    <t>Food</t>
  </si>
  <si>
    <t>Home</t>
  </si>
  <si>
    <t>Toys</t>
  </si>
  <si>
    <t>Year</t>
  </si>
  <si>
    <t>Year</t>
    <phoneticPr fontId="1" type="noConversion"/>
  </si>
  <si>
    <t>Month</t>
    <phoneticPr fontId="1" type="noConversion"/>
  </si>
  <si>
    <t>YearMonth</t>
  </si>
  <si>
    <t>YearMonth</t>
    <phoneticPr fontId="1" type="noConversion"/>
  </si>
  <si>
    <t>Row Labels</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</si>
  <si>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</si>
  <si>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</si>
  <si>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</si>
  <si>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</si>
  <si>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</si>
  <si>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</si>
  <si>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</si>
  <si>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</si>
  <si>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</si>
  <si>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</si>
  <si>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</si>
  <si>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</si>
  <si>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</si>
  <si>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</si>
  <si>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</si>
  <si>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</si>
  <si>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</si>
  <si>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</si>
  <si>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</si>
  <si>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</si>
  <si>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</si>
  <si>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</si>
  <si>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</si>
  <si>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</si>
  <si>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Grand Total</t>
  </si>
  <si>
    <t>Sum of daily_revenue</t>
  </si>
  <si>
    <t>Sum of order_count</t>
  </si>
  <si>
    <t>Weekday_Num</t>
    <phoneticPr fontId="1" type="noConversion"/>
  </si>
  <si>
    <t>Weekday</t>
  </si>
  <si>
    <t>Weekend</t>
  </si>
  <si>
    <t>Sum of revenue_7d_ma</t>
  </si>
  <si>
    <t>Average of daily_revenue</t>
  </si>
  <si>
    <t>IS_Weekend</t>
    <phoneticPr fontId="1" type="noConversion"/>
  </si>
  <si>
    <t>Sun</t>
  </si>
  <si>
    <t>Mon</t>
  </si>
  <si>
    <t>Tue</t>
  </si>
  <si>
    <t>Wed</t>
  </si>
  <si>
    <t>Thu</t>
  </si>
  <si>
    <t>Fri</t>
  </si>
  <si>
    <t>Sat</t>
  </si>
  <si>
    <t>MoM_growth_pct</t>
    <phoneticPr fontId="1" type="noConversion"/>
  </si>
  <si>
    <t>YoY_growth_pct</t>
    <phoneticPr fontId="1" type="noConversion"/>
  </si>
  <si>
    <t>EDATE</t>
    <phoneticPr fontId="1" type="noConversion"/>
  </si>
  <si>
    <t>Order_Date</t>
    <phoneticPr fontId="1" type="noConversion"/>
  </si>
  <si>
    <t>LastYearRevenue</t>
    <phoneticPr fontId="1" type="noConversion"/>
  </si>
  <si>
    <t>Sum of monthly_revenue</t>
  </si>
  <si>
    <t>Max of MoM_growth_pct</t>
  </si>
  <si>
    <t>Max of YoY_growth_pct</t>
  </si>
  <si>
    <t>Sum of share_pct</t>
  </si>
  <si>
    <t>Sum of total_revenue</t>
  </si>
  <si>
    <t>taobao</t>
    <phoneticPr fontId="1" type="noConversion"/>
  </si>
  <si>
    <t>shopify</t>
    <phoneticPr fontId="1" type="noConversion"/>
  </si>
  <si>
    <t>pos</t>
    <phoneticPr fontId="1" type="noConversion"/>
  </si>
  <si>
    <t>Sum of pct_within_pos</t>
  </si>
  <si>
    <t>Channel</t>
    <phoneticPr fontId="1" type="noConversion"/>
  </si>
  <si>
    <t xml:space="preserve"> </t>
    <phoneticPr fontId="1" type="noConversion"/>
  </si>
  <si>
    <t>Weekday_Name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</si>
</sst>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x14ac:knownFonts="1">
    <font>
      <sz val="11"/>
      <color theme="1"/>
      <name val="等线"/>
      <family val="2"/>
      <scheme val="minor"/>
    </font>
    <font>
      <sz val="9"/>
      <name val="等线"/>
      <family val="3"/>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76" fontId="0" fillId="0" borderId="0" xfId="0" applyNumberFormat="1"/>
    <xf numFmtId="0" fontId="2" fillId="0" borderId="0" xfId="0" applyFon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6" formatCode="yyyy\-mm\-dd;@"/>
    </dxf>
    <dxf>
      <numFmt numFmtId="176" formatCode="yyyy\-mm\-dd;@"/>
    </dxf>
    <dxf>
      <numFmt numFmtId="0" formatCode="General"/>
    </dxf>
    <dxf>
      <numFmt numFmtId="0" formatCode="General"/>
    </dxf>
    <dxf>
      <numFmt numFmtId="0" formatCode="General"/>
    </dxf>
    <dxf>
      <numFmt numFmtId="0" formatCode="General"/>
    </dxf>
    <dxf>
      <numFmt numFmtId="0" formatCode="General"/>
    </dxf>
    <dxf>
      <numFmt numFmtId="19" formatCode="yyyy/m/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[operations_dashboard.xlsx]pivot_Year_revenue!PivotTable4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altLang="zh-CN" sz="1200" b="0" i="0" u="none" strike="noStrike" kern="1200" spc="0" baseline="0">
                <a:solidFill>
                  <a:schemeClr val="accent2"/>
                </a:solidFill>
                <a:effectLst/>
              </a:rPr>
              <a:t> </a:t>
            </a:r>
            <a:r>
              <a:rPr lang="en-US" altLang="zh-CN" sz="1200" b="1" i="0" u="none" strike="noStrike" kern="1200" spc="0" baseline="0">
                <a:solidFill>
                  <a:schemeClr val="accent2"/>
                </a:solidFill>
                <a:effectLst/>
              </a:rPr>
              <a:t>Revenue Trend &amp;</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altLang="zh-CN" sz="1200" b="1" i="0" u="none" strike="noStrike" kern="1200" spc="0" baseline="0">
                <a:solidFill>
                  <a:schemeClr val="accent2"/>
                </a:solidFill>
                <a:effectLst/>
              </a:rPr>
              <a:t> Order Count by Year</a:t>
            </a:r>
            <a:endParaRPr lang="en-US" altLang="zh-CN" sz="1200" b="1">
              <a:solidFill>
                <a:schemeClr val="accent2"/>
              </a:solidFill>
            </a:endParaRPr>
          </a:p>
        </c:rich>
      </c:tx>
      <c:layout>
        <c:manualLayout>
          <c:xMode val="edge"/>
          <c:yMode val="edge"/>
          <c:x val="0.68394444444444447"/>
          <c:y val="5.916447944006999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zh-C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13648293963255"/>
          <c:y val="0.13323855351414407"/>
          <c:w val="0.40265660542432197"/>
          <c:h val="0.65853091280256637"/>
        </c:manualLayout>
      </c:layout>
      <c:barChart>
        <c:barDir val="col"/>
        <c:grouping val="stacked"/>
        <c:varyColors val="0"/>
        <c:ser>
          <c:idx val="1"/>
          <c:order val="1"/>
          <c:tx>
            <c:strRef>
              <c:f>pivot_Year_revenue!$C$1</c:f>
              <c:strCache>
                <c:ptCount val="1"/>
                <c:pt idx="0">
                  <c:v>Sum of daily_revenue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pivot_Year_revenue!$A$2:$A$4</c:f>
              <c:strCache>
                <c:ptCount val="2"/>
                <c:pt idx="0">
                  <c:v>2024</c:v>
                </c:pt>
                <c:pt idx="1">
                  <c:v>2025</c:v>
                </c:pt>
              </c:strCache>
            </c:strRef>
          </c:cat>
          <c:val>
            <c:numRef>
              <c:f>pivot_Year_revenue!$C$2:$C$4</c:f>
              <c:numCache>
                <c:formatCode>General</c:formatCode>
                <c:ptCount val="2"/>
                <c:pt idx="0">
                  <c:v>186808969</c:v>
                </c:pt>
                <c:pt idx="1">
                  <c:v>186580667</c:v>
                </c:pt>
              </c:numCache>
            </c:numRef>
          </c:val>
          <c:extLst>
            <c:ext xmlns:c16="http://schemas.microsoft.com/office/drawing/2014/chart" uri="{C3380CC4-5D6E-409C-BE32-E72D297353CC}">
              <c16:uniqueId val="{00000003-2524-490E-AC1D-D8254F48E815}"/>
            </c:ext>
          </c:extLst>
        </c:ser>
        <c:dLbls>
          <c:dLblPos val="inEnd"/>
          <c:showLegendKey val="0"/>
          <c:showVal val="1"/>
          <c:showCatName val="0"/>
          <c:showSerName val="0"/>
          <c:showPercent val="0"/>
          <c:showBubbleSize val="0"/>
        </c:dLbls>
        <c:gapWidth val="219"/>
        <c:overlap val="100"/>
        <c:axId val="512881424"/>
        <c:axId val="512879984"/>
      </c:barChart>
      <c:lineChart>
        <c:grouping val="standard"/>
        <c:varyColors val="0"/>
        <c:ser>
          <c:idx val="0"/>
          <c:order val="0"/>
          <c:tx>
            <c:strRef>
              <c:f>pivot_Year_revenue!$B$1</c:f>
              <c:strCache>
                <c:ptCount val="1"/>
                <c:pt idx="0">
                  <c:v>Sum of order_count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pivot_Year_revenue!$A$2:$A$4</c:f>
              <c:strCache>
                <c:ptCount val="2"/>
                <c:pt idx="0">
                  <c:v>2024</c:v>
                </c:pt>
                <c:pt idx="1">
                  <c:v>2025</c:v>
                </c:pt>
              </c:strCache>
            </c:strRef>
          </c:cat>
          <c:val>
            <c:numRef>
              <c:f>pivot_Year_revenue!$B$2:$B$4</c:f>
              <c:numCache>
                <c:formatCode>General</c:formatCode>
                <c:ptCount val="2"/>
                <c:pt idx="0">
                  <c:v>149765</c:v>
                </c:pt>
                <c:pt idx="1">
                  <c:v>149830</c:v>
                </c:pt>
              </c:numCache>
            </c:numRef>
          </c:val>
          <c:smooth val="0"/>
          <c:extLst>
            <c:ext xmlns:c16="http://schemas.microsoft.com/office/drawing/2014/chart" uri="{C3380CC4-5D6E-409C-BE32-E72D297353CC}">
              <c16:uniqueId val="{00000000-2524-490E-AC1D-D8254F48E815}"/>
            </c:ext>
          </c:extLst>
        </c:ser>
        <c:dLbls>
          <c:showLegendKey val="0"/>
          <c:showVal val="1"/>
          <c:showCatName val="0"/>
          <c:showSerName val="0"/>
          <c:showPercent val="0"/>
          <c:showBubbleSize val="0"/>
        </c:dLbls>
        <c:marker val="1"/>
        <c:smooth val="0"/>
        <c:axId val="1172663856"/>
        <c:axId val="1172665776"/>
      </c:lineChart>
      <c:catAx>
        <c:axId val="512881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12879984"/>
        <c:crosses val="autoZero"/>
        <c:auto val="1"/>
        <c:lblAlgn val="ctr"/>
        <c:lblOffset val="100"/>
        <c:noMultiLvlLbl val="0"/>
      </c:catAx>
      <c:valAx>
        <c:axId val="51287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512881424"/>
        <c:crosses val="autoZero"/>
        <c:crossBetween val="between"/>
      </c:valAx>
      <c:valAx>
        <c:axId val="117266577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72663856"/>
        <c:crosses val="max"/>
        <c:crossBetween val="between"/>
      </c:valAx>
      <c:catAx>
        <c:axId val="1172663856"/>
        <c:scaling>
          <c:orientation val="minMax"/>
        </c:scaling>
        <c:delete val="1"/>
        <c:axPos val="b"/>
        <c:numFmt formatCode="General" sourceLinked="1"/>
        <c:majorTickMark val="none"/>
        <c:minorTickMark val="none"/>
        <c:tickLblPos val="nextTo"/>
        <c:crossAx val="11726657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[operations_dashboard.xlsx]pivot_Year_revenue!PivotTable3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400" b="0" i="0" u="none" strike="noStrike" baseline="0">
                <a:effectLst/>
              </a:rPr>
              <a:t>Monthly Revenue Trend &amp; 7d MA(by YearMonth)</a:t>
            </a:r>
            <a:endParaRPr lang="en-US" alt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C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pivot_Year_revenue!$B$17</c:f>
              <c:strCache>
                <c:ptCount val="1"/>
                <c:pt idx="0">
                  <c:v>Sum of daily_revenue</c:v>
                </c:pt>
              </c:strCache>
            </c:strRef>
          </c:tx>
          <c:spPr>
            <a:solidFill>
              <a:schemeClr val="accent1"/>
            </a:solidFill>
            <a:ln>
              <a:noFill/>
            </a:ln>
            <a:effectLst/>
          </c:spPr>
          <c:invertIfNegative val="0"/>
          <c:cat>
            <c:strRef>
              <c:f>pivot_Year_revenue!$A$18:$A$42</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pivot_Year_revenue!$B$18:$B$42</c:f>
              <c:numCache>
                <c:formatCode>General</c:formatCode>
                <c:ptCount val="24"/>
                <c:pt idx="0">
                  <c:v>15767553</c:v>
                </c:pt>
                <c:pt idx="1">
                  <c:v>14736893</c:v>
                </c:pt>
                <c:pt idx="2">
                  <c:v>15825128</c:v>
                </c:pt>
                <c:pt idx="3">
                  <c:v>15262436</c:v>
                </c:pt>
                <c:pt idx="4">
                  <c:v>15726187</c:v>
                </c:pt>
                <c:pt idx="5">
                  <c:v>15361932</c:v>
                </c:pt>
                <c:pt idx="6">
                  <c:v>15995406</c:v>
                </c:pt>
                <c:pt idx="7">
                  <c:v>16011404</c:v>
                </c:pt>
                <c:pt idx="8">
                  <c:v>15248803</c:v>
                </c:pt>
                <c:pt idx="9">
                  <c:v>15891827</c:v>
                </c:pt>
                <c:pt idx="10">
                  <c:v>15284669</c:v>
                </c:pt>
                <c:pt idx="11">
                  <c:v>15696731</c:v>
                </c:pt>
                <c:pt idx="12">
                  <c:v>15703282</c:v>
                </c:pt>
                <c:pt idx="13">
                  <c:v>14289832</c:v>
                </c:pt>
                <c:pt idx="14">
                  <c:v>16005941</c:v>
                </c:pt>
                <c:pt idx="15">
                  <c:v>15263784</c:v>
                </c:pt>
                <c:pt idx="16">
                  <c:v>15728019</c:v>
                </c:pt>
                <c:pt idx="17">
                  <c:v>15327545</c:v>
                </c:pt>
                <c:pt idx="18">
                  <c:v>15847679</c:v>
                </c:pt>
                <c:pt idx="19">
                  <c:v>15880968</c:v>
                </c:pt>
                <c:pt idx="20">
                  <c:v>15274213</c:v>
                </c:pt>
                <c:pt idx="21">
                  <c:v>15735593</c:v>
                </c:pt>
                <c:pt idx="22">
                  <c:v>15335526</c:v>
                </c:pt>
                <c:pt idx="23">
                  <c:v>16188285</c:v>
                </c:pt>
              </c:numCache>
            </c:numRef>
          </c:val>
          <c:extLst>
            <c:ext xmlns:c16="http://schemas.microsoft.com/office/drawing/2014/chart" uri="{C3380CC4-5D6E-409C-BE32-E72D297353CC}">
              <c16:uniqueId val="{00000000-16A7-4922-972D-90E833ABFDF3}"/>
            </c:ext>
          </c:extLst>
        </c:ser>
        <c:ser>
          <c:idx val="1"/>
          <c:order val="1"/>
          <c:tx>
            <c:strRef>
              <c:f>pivot_Year_revenue!$C$17</c:f>
              <c:strCache>
                <c:ptCount val="1"/>
                <c:pt idx="0">
                  <c:v>Sum of revenue_7d_ma</c:v>
                </c:pt>
              </c:strCache>
            </c:strRef>
          </c:tx>
          <c:spPr>
            <a:solidFill>
              <a:schemeClr val="accent2"/>
            </a:solidFill>
            <a:ln>
              <a:noFill/>
            </a:ln>
            <a:effectLst/>
          </c:spPr>
          <c:invertIfNegative val="0"/>
          <c:cat>
            <c:strRef>
              <c:f>pivot_Year_revenue!$A$18:$A$42</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pivot_Year_revenue!$C$18:$C$42</c:f>
              <c:numCache>
                <c:formatCode>General</c:formatCode>
                <c:ptCount val="24"/>
                <c:pt idx="0">
                  <c:v>15859612.990000002</c:v>
                </c:pt>
                <c:pt idx="1">
                  <c:v>14650795.850000001</c:v>
                </c:pt>
                <c:pt idx="2">
                  <c:v>15830658.850000001</c:v>
                </c:pt>
                <c:pt idx="3">
                  <c:v>15351509.43</c:v>
                </c:pt>
                <c:pt idx="4">
                  <c:v>15645100.43</c:v>
                </c:pt>
                <c:pt idx="5">
                  <c:v>15342647.280000003</c:v>
                </c:pt>
                <c:pt idx="6">
                  <c:v>16097496.260000002</c:v>
                </c:pt>
                <c:pt idx="7">
                  <c:v>15950733.120000001</c:v>
                </c:pt>
                <c:pt idx="8">
                  <c:v>15258834.139999999</c:v>
                </c:pt>
                <c:pt idx="9">
                  <c:v>15853807.709999997</c:v>
                </c:pt>
                <c:pt idx="10">
                  <c:v>15325356.159999998</c:v>
                </c:pt>
                <c:pt idx="11">
                  <c:v>15721974.289999995</c:v>
                </c:pt>
                <c:pt idx="12">
                  <c:v>15756897.990000002</c:v>
                </c:pt>
                <c:pt idx="13">
                  <c:v>14164620.120000001</c:v>
                </c:pt>
                <c:pt idx="14">
                  <c:v>15998393.82</c:v>
                </c:pt>
                <c:pt idx="15">
                  <c:v>15284999.709999997</c:v>
                </c:pt>
                <c:pt idx="16">
                  <c:v>15776853.830000002</c:v>
                </c:pt>
                <c:pt idx="17">
                  <c:v>15323937.01</c:v>
                </c:pt>
                <c:pt idx="18">
                  <c:v>15823776.159999998</c:v>
                </c:pt>
                <c:pt idx="19">
                  <c:v>15918642.430000002</c:v>
                </c:pt>
                <c:pt idx="20">
                  <c:v>15241109.140000001</c:v>
                </c:pt>
                <c:pt idx="21">
                  <c:v>15725991.420000002</c:v>
                </c:pt>
                <c:pt idx="22">
                  <c:v>15336978.560000002</c:v>
                </c:pt>
                <c:pt idx="23">
                  <c:v>16173683</c:v>
                </c:pt>
              </c:numCache>
            </c:numRef>
          </c:val>
          <c:extLst>
            <c:ext xmlns:c16="http://schemas.microsoft.com/office/drawing/2014/chart" uri="{C3380CC4-5D6E-409C-BE32-E72D297353CC}">
              <c16:uniqueId val="{00000001-16A7-4922-972D-90E833ABFDF3}"/>
            </c:ext>
          </c:extLst>
        </c:ser>
        <c:dLbls>
          <c:showLegendKey val="0"/>
          <c:showVal val="0"/>
          <c:showCatName val="0"/>
          <c:showSerName val="0"/>
          <c:showPercent val="0"/>
          <c:showBubbleSize val="0"/>
        </c:dLbls>
        <c:gapWidth val="219"/>
        <c:axId val="1778482720"/>
        <c:axId val="1373051248"/>
      </c:barChart>
      <c:catAx>
        <c:axId val="177848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3051248"/>
        <c:crosses val="autoZero"/>
        <c:auto val="1"/>
        <c:lblAlgn val="ctr"/>
        <c:lblOffset val="100"/>
        <c:noMultiLvlLbl val="0"/>
      </c:catAx>
      <c:valAx>
        <c:axId val="137305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7848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[operations_dashboard.xlsx]pivot_WeekdayWeekend_revenue!PivotTable7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sz="1200" b="0" i="0" u="none" strike="noStrike" kern="1200" spc="0" baseline="0">
                <a:solidFill>
                  <a:sysClr val="windowText" lastClr="000000">
                    <a:lumMod val="65000"/>
                    <a:lumOff val="35000"/>
                  </a:sysClr>
                </a:solidFill>
              </a:rPr>
              <a:t>Average Revenue </a:t>
            </a:r>
            <a:r>
              <a:rPr lang="en-US" altLang="zh-CN" sz="1200" b="0" i="0" u="none" strike="noStrike" kern="1200" spc="0" baseline="0">
                <a:solidFill>
                  <a:sysClr val="windowText" lastClr="000000">
                    <a:lumMod val="65000"/>
                    <a:lumOff val="35000"/>
                  </a:sysClr>
                </a:solidFill>
                <a:latin typeface="+mn-lt"/>
                <a:ea typeface="+mn-ea"/>
                <a:cs typeface="+mn-cs"/>
              </a:rPr>
              <a:t>by Weekday_Weekend</a:t>
            </a:r>
          </a:p>
        </c:rich>
      </c:tx>
      <c:layout>
        <c:manualLayout>
          <c:xMode val="edge"/>
          <c:yMode val="edge"/>
          <c:x val="0.17861111111111108"/>
          <c:y val="0.170275590551181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pivot_WeekdayWeekend_revenue!$B$1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pivot_WeekdayWeekend_revenue!$A$2:$A$4</c:f>
              <c:strCache>
                <c:ptCount val="2"/>
                <c:pt idx="0">
                  <c:v>Weekday</c:v>
                </c:pt>
                <c:pt idx="1">
                  <c:v>Weekend</c:v>
                </c:pt>
              </c:strCache>
            </c:strRef>
          </c:cat>
          <c:val>
            <c:numRef>
              <c:f>pivot_WeekdayWeekend_revenue!$B$2:$B$4</c:f>
              <c:numCache>
                <c:formatCode>General</c:formatCode>
                <c:ptCount val="2"/>
                <c:pt idx="0">
                  <c:v>511761.68833652005</c:v>
                </c:pt>
                <c:pt idx="1">
                  <c:v>508357.08173076925</c:v>
                </c:pt>
              </c:numCache>
            </c:numRef>
          </c:val>
          <c:extLst>
            <c:ext xmlns:c16="http://schemas.microsoft.com/office/drawing/2014/chart" uri="{C3380CC4-5D6E-409C-BE32-E72D297353CC}">
              <c16:uniqueId val="{00000000-D5DF-48D1-B55E-CBC72B1AC06A}"/>
            </c:ext>
          </c:extLst>
        </c:ser>
        <c:dLbls>
          <c:dLblPos val="outEnd"/>
          <c:showLegendKey val="0"/>
          <c:showVal val="1"/>
          <c:showCatName val="0"/>
          <c:showSerName val="0"/>
          <c:showPercent val="0"/>
          <c:showBubbleSize val="0"/>
        </c:dLbls>
        <c:gapWidth val="219"/>
        <c:overlap val="-27"/>
        <c:axId val="1768128528"/>
        <c:axId val="1768127568"/>
      </c:barChart>
      <c:catAx>
        <c:axId val="176812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68127568"/>
        <c:crosses val="autoZero"/>
        <c:auto val="1"/>
        <c:lblAlgn val="ctr"/>
        <c:lblOffset val="100"/>
        <c:noMultiLvlLbl val="0"/>
      </c:catAx>
      <c:valAx>
        <c:axId val="176812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6812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[operations_dashboard.xlsx]pivot_WeekdayWeekend_revenue!PivotTable6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pivot_WeekdayWeekend_revenue!$B$18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pivot_WeekdayWeekend_revenue!$A$19:$A$26</c:f>
              <c:strCache>
                <c:ptCount val="7"/>
                <c:pt idx="0">
                  <c:v>Sun</c:v>
                </c:pt>
                <c:pt idx="1">
                  <c:v>Mon</c:v>
                </c:pt>
                <c:pt idx="2">
                  <c:v>Tue</c:v>
                </c:pt>
                <c:pt idx="3">
                  <c:v>Wed</c:v>
                </c:pt>
                <c:pt idx="4">
                  <c:v>Thu</c:v>
                </c:pt>
                <c:pt idx="5">
                  <c:v>Fri</c:v>
                </c:pt>
                <c:pt idx="6">
                  <c:v>Sat</c:v>
                </c:pt>
              </c:strCache>
            </c:strRef>
          </c:cat>
          <c:val>
            <c:numRef>
              <c:f>pivot_WeekdayWeekend_revenue!$B$19:$B$26</c:f>
              <c:numCache>
                <c:formatCode>General</c:formatCode>
                <c:ptCount val="7"/>
                <c:pt idx="0">
                  <c:v>507729.33653846156</c:v>
                </c:pt>
                <c:pt idx="1">
                  <c:v>514528.48571428569</c:v>
                </c:pt>
                <c:pt idx="2">
                  <c:v>509704.42857142858</c:v>
                </c:pt>
                <c:pt idx="3">
                  <c:v>508456.17142857146</c:v>
                </c:pt>
                <c:pt idx="4">
                  <c:v>512196.61538461538</c:v>
                </c:pt>
                <c:pt idx="5">
                  <c:v>513947.70192307694</c:v>
                </c:pt>
                <c:pt idx="6">
                  <c:v>508984.82692307694</c:v>
                </c:pt>
              </c:numCache>
            </c:numRef>
          </c:val>
          <c:extLst>
            <c:ext xmlns:c16="http://schemas.microsoft.com/office/drawing/2014/chart" uri="{C3380CC4-5D6E-409C-BE32-E72D297353CC}">
              <c16:uniqueId val="{00000000-67EE-415A-8365-D8B7DDA62693}"/>
            </c:ext>
          </c:extLst>
        </c:ser>
        <c:dLbls>
          <c:dLblPos val="inEnd"/>
          <c:showLegendKey val="0"/>
          <c:showVal val="1"/>
          <c:showCatName val="0"/>
          <c:showSerName val="0"/>
          <c:showPercent val="0"/>
          <c:showBubbleSize val="0"/>
        </c:dLbls>
        <c:gapWidth val="219"/>
        <c:overlap val="-27"/>
        <c:axId val="1363515824"/>
        <c:axId val="1363514864"/>
      </c:barChart>
      <c:catAx>
        <c:axId val="136351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63514864"/>
        <c:crosses val="autoZero"/>
        <c:auto val="1"/>
        <c:lblAlgn val="ctr"/>
        <c:lblOffset val="100"/>
        <c:noMultiLvlLbl val="0"/>
      </c:catAx>
      <c:valAx>
        <c:axId val="136351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6351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[operations_dashboard.xlsx]pivot_YoY_MoM!PivotTable11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ltLang="zh-CN" sz="1400" b="1"/>
              <a:t>MoM_growth_pct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zh-C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pivot_YoY_MoM!$B$1</c:f>
              <c:strCache>
                <c:ptCount val="1"/>
                <c:pt idx="0">
                  <c:v>Sum of monthly_revenue</c:v>
                </c:pt>
              </c:strCache>
            </c:strRef>
          </c:tx>
          <c:spPr>
            <a:solidFill>
              <a:schemeClr val="accent1"/>
            </a:solidFill>
            <a:ln>
              <a:noFill/>
            </a:ln>
            <a:effectLst/>
          </c:spPr>
          <c:invertIfNegative val="0"/>
          <c:cat>
            <c:strRef>
              <c:f>pivot_YoY_MoM!$A$2:$A$26</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pivot_YoY_MoM!$B$2:$B$26</c:f>
              <c:numCache>
                <c:formatCode>General</c:formatCode>
                <c:ptCount val="24"/>
                <c:pt idx="0">
                  <c:v>15767553</c:v>
                </c:pt>
                <c:pt idx="1">
                  <c:v>14736893</c:v>
                </c:pt>
                <c:pt idx="2">
                  <c:v>15825128</c:v>
                </c:pt>
                <c:pt idx="3">
                  <c:v>15262436</c:v>
                </c:pt>
                <c:pt idx="4">
                  <c:v>15726187</c:v>
                </c:pt>
                <c:pt idx="5">
                  <c:v>15361932</c:v>
                </c:pt>
                <c:pt idx="6">
                  <c:v>15995406</c:v>
                </c:pt>
                <c:pt idx="7">
                  <c:v>16011404</c:v>
                </c:pt>
                <c:pt idx="8">
                  <c:v>15248803</c:v>
                </c:pt>
                <c:pt idx="9">
                  <c:v>15891827</c:v>
                </c:pt>
                <c:pt idx="10">
                  <c:v>15284669</c:v>
                </c:pt>
                <c:pt idx="11">
                  <c:v>15696731</c:v>
                </c:pt>
                <c:pt idx="12">
                  <c:v>15703282</c:v>
                </c:pt>
                <c:pt idx="13">
                  <c:v>14289832</c:v>
                </c:pt>
                <c:pt idx="14">
                  <c:v>16005941</c:v>
                </c:pt>
                <c:pt idx="15">
                  <c:v>15263784</c:v>
                </c:pt>
                <c:pt idx="16">
                  <c:v>15728019</c:v>
                </c:pt>
                <c:pt idx="17">
                  <c:v>15327545</c:v>
                </c:pt>
                <c:pt idx="18">
                  <c:v>15847679</c:v>
                </c:pt>
                <c:pt idx="19">
                  <c:v>15880968</c:v>
                </c:pt>
                <c:pt idx="20">
                  <c:v>15274213</c:v>
                </c:pt>
                <c:pt idx="21">
                  <c:v>15735593</c:v>
                </c:pt>
                <c:pt idx="22">
                  <c:v>15335526</c:v>
                </c:pt>
                <c:pt idx="23">
                  <c:v>16188285</c:v>
                </c:pt>
              </c:numCache>
            </c:numRef>
          </c:val>
          <c:extLst>
            <c:ext xmlns:c16="http://schemas.microsoft.com/office/drawing/2014/chart" uri="{C3380CC4-5D6E-409C-BE32-E72D297353CC}">
              <c16:uniqueId val="{00000000-A844-47AF-AAA4-C485BA78D0C5}"/>
            </c:ext>
          </c:extLst>
        </c:ser>
        <c:dLbls>
          <c:showLegendKey val="0"/>
          <c:showVal val="0"/>
          <c:showCatName val="0"/>
          <c:showSerName val="0"/>
          <c:showPercent val="0"/>
          <c:showBubbleSize val="0"/>
        </c:dLbls>
        <c:gapWidth val="269"/>
        <c:axId val="1171281424"/>
        <c:axId val="1171281904"/>
      </c:barChart>
      <c:lineChart>
        <c:grouping val="standard"/>
        <c:varyColors val="0"/>
        <c:ser>
          <c:idx val="1"/>
          <c:order val="1"/>
          <c:tx>
            <c:strRef>
              <c:f>pivot_YoY_MoM!$C$1</c:f>
              <c:strCache>
                <c:ptCount val="1"/>
                <c:pt idx="0">
                  <c:v>Max of MoM_growth_pct</c:v>
                </c:pt>
              </c:strCache>
            </c:strRef>
          </c:tx>
          <c:spPr>
            <a:ln w="38100" cap="rnd">
              <a:solidFill>
                <a:schemeClr val="accent2"/>
              </a:solidFill>
              <a:round/>
            </a:ln>
            <a:effectLst/>
          </c:spPr>
          <c:marker>
            <c:symbol val="none"/>
          </c:marker>
          <c:cat>
            <c:strRef>
              <c:f>pivot_YoY_MoM!$A$2:$A$26</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pivot_YoY_MoM!$C$2:$C$26</c:f>
              <c:numCache>
                <c:formatCode>General</c:formatCode>
                <c:ptCount val="24"/>
                <c:pt idx="1">
                  <c:v>-6.54</c:v>
                </c:pt>
                <c:pt idx="2">
                  <c:v>7.38</c:v>
                </c:pt>
                <c:pt idx="3">
                  <c:v>-3.56</c:v>
                </c:pt>
                <c:pt idx="4">
                  <c:v>3.04</c:v>
                </c:pt>
                <c:pt idx="5">
                  <c:v>-2.3199999999999998</c:v>
                </c:pt>
                <c:pt idx="6">
                  <c:v>4.12</c:v>
                </c:pt>
                <c:pt idx="7">
                  <c:v>0.1</c:v>
                </c:pt>
                <c:pt idx="8">
                  <c:v>-4.76</c:v>
                </c:pt>
                <c:pt idx="9">
                  <c:v>4.22</c:v>
                </c:pt>
                <c:pt idx="10">
                  <c:v>-3.82</c:v>
                </c:pt>
                <c:pt idx="11">
                  <c:v>2.7</c:v>
                </c:pt>
                <c:pt idx="12">
                  <c:v>0.04</c:v>
                </c:pt>
                <c:pt idx="13">
                  <c:v>-9</c:v>
                </c:pt>
                <c:pt idx="14">
                  <c:v>12.01</c:v>
                </c:pt>
                <c:pt idx="15">
                  <c:v>-4.6399999999999997</c:v>
                </c:pt>
                <c:pt idx="16">
                  <c:v>3.04</c:v>
                </c:pt>
                <c:pt idx="17">
                  <c:v>-2.5499999999999998</c:v>
                </c:pt>
                <c:pt idx="18">
                  <c:v>3.39</c:v>
                </c:pt>
                <c:pt idx="19">
                  <c:v>0.21</c:v>
                </c:pt>
                <c:pt idx="20">
                  <c:v>-3.82</c:v>
                </c:pt>
                <c:pt idx="21">
                  <c:v>3.02</c:v>
                </c:pt>
                <c:pt idx="22">
                  <c:v>-2.54</c:v>
                </c:pt>
                <c:pt idx="23">
                  <c:v>5.56</c:v>
                </c:pt>
              </c:numCache>
            </c:numRef>
          </c:val>
          <c:smooth val="0"/>
          <c:extLst>
            <c:ext xmlns:c16="http://schemas.microsoft.com/office/drawing/2014/chart" uri="{C3380CC4-5D6E-409C-BE32-E72D297353CC}">
              <c16:uniqueId val="{00000002-A844-47AF-AAA4-C485BA78D0C5}"/>
            </c:ext>
          </c:extLst>
        </c:ser>
        <c:dLbls>
          <c:showLegendKey val="0"/>
          <c:showVal val="0"/>
          <c:showCatName val="0"/>
          <c:showSerName val="0"/>
          <c:showPercent val="0"/>
          <c:showBubbleSize val="0"/>
        </c:dLbls>
        <c:marker val="1"/>
        <c:smooth val="0"/>
        <c:axId val="1821379712"/>
        <c:axId val="2076805472"/>
      </c:lineChart>
      <c:catAx>
        <c:axId val="1171281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zh-CN"/>
          </a:p>
        </c:txPr>
        <c:crossAx val="1171281904"/>
        <c:crosses val="autoZero"/>
        <c:auto val="1"/>
        <c:lblAlgn val="ctr"/>
        <c:lblOffset val="100"/>
        <c:noMultiLvlLbl val="0"/>
      </c:catAx>
      <c:valAx>
        <c:axId val="11712819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71281424"/>
        <c:crosses val="autoZero"/>
        <c:crossBetween val="between"/>
      </c:valAx>
      <c:valAx>
        <c:axId val="20768054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821379712"/>
        <c:crosses val="max"/>
        <c:crossBetween val="between"/>
      </c:valAx>
      <c:catAx>
        <c:axId val="1821379712"/>
        <c:scaling>
          <c:orientation val="minMax"/>
        </c:scaling>
        <c:delete val="1"/>
        <c:axPos val="b"/>
        <c:numFmt formatCode="General" sourceLinked="1"/>
        <c:majorTickMark val="out"/>
        <c:minorTickMark val="none"/>
        <c:tickLblPos val="nextTo"/>
        <c:crossAx val="20768054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[operations_dashboard.xlsx]pivot_YoY_MoM!PivotTable13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YoY_growth_pct</a:t>
            </a:r>
          </a:p>
        </c:rich>
      </c:tx>
      <c:layout>
        <c:manualLayout>
          <c:xMode val="edge"/>
          <c:yMode val="edge"/>
          <c:x val="0.37586410032079326"/>
          <c:y val="0.110879725977385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pivot_YoY_MoM!$C$28</c:f>
              <c:strCache>
                <c:ptCount val="1"/>
                <c:pt idx="0">
                  <c:v>Sum of monthly_revenue</c:v>
                </c:pt>
              </c:strCache>
            </c:strRef>
          </c:tx>
          <c:spPr>
            <a:solidFill>
              <a:schemeClr val="accent2"/>
            </a:solidFill>
            <a:ln>
              <a:noFill/>
            </a:ln>
            <a:effectLst/>
          </c:spPr>
          <c:invertIfNegative val="0"/>
          <c:cat>
            <c:strRef>
              <c:f>pivot_YoY_MoM!$A$29:$A$53</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pivot_YoY_MoM!$C$29:$C$53</c:f>
              <c:numCache>
                <c:formatCode>General</c:formatCode>
                <c:ptCount val="24"/>
                <c:pt idx="0">
                  <c:v>15767553</c:v>
                </c:pt>
                <c:pt idx="1">
                  <c:v>14736893</c:v>
                </c:pt>
                <c:pt idx="2">
                  <c:v>15825128</c:v>
                </c:pt>
                <c:pt idx="3">
                  <c:v>15262436</c:v>
                </c:pt>
                <c:pt idx="4">
                  <c:v>15726187</c:v>
                </c:pt>
                <c:pt idx="5">
                  <c:v>15361932</c:v>
                </c:pt>
                <c:pt idx="6">
                  <c:v>15995406</c:v>
                </c:pt>
                <c:pt idx="7">
                  <c:v>16011404</c:v>
                </c:pt>
                <c:pt idx="8">
                  <c:v>15248803</c:v>
                </c:pt>
                <c:pt idx="9">
                  <c:v>15891827</c:v>
                </c:pt>
                <c:pt idx="10">
                  <c:v>15284669</c:v>
                </c:pt>
                <c:pt idx="11">
                  <c:v>15696731</c:v>
                </c:pt>
                <c:pt idx="12">
                  <c:v>15703282</c:v>
                </c:pt>
                <c:pt idx="13">
                  <c:v>14289832</c:v>
                </c:pt>
                <c:pt idx="14">
                  <c:v>16005941</c:v>
                </c:pt>
                <c:pt idx="15">
                  <c:v>15263784</c:v>
                </c:pt>
                <c:pt idx="16">
                  <c:v>15728019</c:v>
                </c:pt>
                <c:pt idx="17">
                  <c:v>15327545</c:v>
                </c:pt>
                <c:pt idx="18">
                  <c:v>15847679</c:v>
                </c:pt>
                <c:pt idx="19">
                  <c:v>15880968</c:v>
                </c:pt>
                <c:pt idx="20">
                  <c:v>15274213</c:v>
                </c:pt>
                <c:pt idx="21">
                  <c:v>15735593</c:v>
                </c:pt>
                <c:pt idx="22">
                  <c:v>15335526</c:v>
                </c:pt>
                <c:pt idx="23">
                  <c:v>16188285</c:v>
                </c:pt>
              </c:numCache>
            </c:numRef>
          </c:val>
          <c:extLst>
            <c:ext xmlns:c16="http://schemas.microsoft.com/office/drawing/2014/chart" uri="{C3380CC4-5D6E-409C-BE32-E72D297353CC}">
              <c16:uniqueId val="{00000001-D765-4FD8-859E-D16BC1B20F4E}"/>
            </c:ext>
          </c:extLst>
        </c:ser>
        <c:dLbls>
          <c:showLegendKey val="0"/>
          <c:showVal val="0"/>
          <c:showCatName val="0"/>
          <c:showSerName val="0"/>
          <c:showPercent val="0"/>
          <c:showBubbleSize val="0"/>
        </c:dLbls>
        <c:gapWidth val="219"/>
        <c:axId val="1778062160"/>
        <c:axId val="1778065040"/>
      </c:barChart>
      <c:lineChart>
        <c:grouping val="standard"/>
        <c:varyColors val="0"/>
        <c:ser>
          <c:idx val="0"/>
          <c:order val="0"/>
          <c:tx>
            <c:strRef>
              <c:f>pivot_YoY_MoM!$B$28</c:f>
              <c:strCache>
                <c:ptCount val="1"/>
                <c:pt idx="0">
                  <c:v>Max of YoY_growth_pct</c:v>
                </c:pt>
              </c:strCache>
            </c:strRef>
          </c:tx>
          <c:spPr>
            <a:ln w="28575" cap="rnd">
              <a:solidFill>
                <a:schemeClr val="accent1"/>
              </a:solidFill>
              <a:round/>
            </a:ln>
            <a:effectLst/>
          </c:spPr>
          <c:marker>
            <c:symbol val="none"/>
          </c:marker>
          <c:cat>
            <c:strRef>
              <c:f>pivot_YoY_MoM!$A$29:$A$53</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pivot_YoY_MoM!$B$29:$B$53</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-0.03</c:v>
                </c:pt>
                <c:pt idx="14">
                  <c:v>0.01</c:v>
                </c:pt>
                <c:pt idx="15">
                  <c:v>0</c:v>
                </c:pt>
                <c:pt idx="16">
                  <c:v>0</c:v>
                </c:pt>
                <c:pt idx="17">
                  <c:v>0</c:v>
                </c:pt>
                <c:pt idx="18">
                  <c:v>-0.01</c:v>
                </c:pt>
                <c:pt idx="19">
                  <c:v>-0.01</c:v>
                </c:pt>
                <c:pt idx="20">
                  <c:v>0</c:v>
                </c:pt>
                <c:pt idx="21">
                  <c:v>-0.01</c:v>
                </c:pt>
                <c:pt idx="22">
                  <c:v>0</c:v>
                </c:pt>
                <c:pt idx="23">
                  <c:v>0.03</c:v>
                </c:pt>
              </c:numCache>
            </c:numRef>
          </c:val>
          <c:smooth val="0"/>
          <c:extLst>
            <c:ext xmlns:c16="http://schemas.microsoft.com/office/drawing/2014/chart" uri="{C3380CC4-5D6E-409C-BE32-E72D297353CC}">
              <c16:uniqueId val="{00000000-D765-4FD8-859E-D16BC1B20F4E}"/>
            </c:ext>
          </c:extLst>
        </c:ser>
        <c:dLbls>
          <c:showLegendKey val="0"/>
          <c:showVal val="0"/>
          <c:showCatName val="0"/>
          <c:showSerName val="0"/>
          <c:showPercent val="0"/>
          <c:showBubbleSize val="0"/>
        </c:dLbls>
        <c:marker val="1"/>
        <c:smooth val="0"/>
        <c:axId val="1971583712"/>
        <c:axId val="1971582272"/>
      </c:lineChart>
      <c:catAx>
        <c:axId val="177806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78065040"/>
        <c:crosses val="autoZero"/>
        <c:auto val="1"/>
        <c:lblAlgn val="ctr"/>
        <c:lblOffset val="100"/>
        <c:noMultiLvlLbl val="0"/>
      </c:catAx>
      <c:valAx>
        <c:axId val="177806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78062160"/>
        <c:crosses val="autoZero"/>
        <c:crossBetween val="between"/>
      </c:valAx>
      <c:valAx>
        <c:axId val="19715822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71583712"/>
        <c:crosses val="max"/>
        <c:crossBetween val="between"/>
      </c:valAx>
      <c:catAx>
        <c:axId val="1971583712"/>
        <c:scaling>
          <c:orientation val="minMax"/>
        </c:scaling>
        <c:delete val="1"/>
        <c:axPos val="b"/>
        <c:numFmt formatCode="General" sourceLinked="1"/>
        <c:majorTickMark val="out"/>
        <c:minorTickMark val="none"/>
        <c:tickLblPos val="nextTo"/>
        <c:crossAx val="19715822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[operations_dashboard.xlsx]agg_orders_channel_revenue!PivotTable15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Share_pct</a:t>
            </a:r>
            <a:r>
              <a:rPr lang="en-US" altLang="zh-CN" baseline="0"/>
              <a:t> by Channel</a:t>
            </a:r>
            <a:endParaRPr lang="en-US" altLang="zh-CN"/>
          </a:p>
        </c:rich>
      </c:tx>
      <c:layout>
        <c:manualLayout>
          <c:xMode val="edge"/>
          <c:yMode val="edge"/>
          <c:x val="0.5853165958089106"/>
          <c:y val="8.32286633809575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C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3880623548254551"/>
          <c:y val="0.29615599680474725"/>
          <c:w val="0.36690297099444041"/>
          <c:h val="0.6241338582677165"/>
        </c:manualLayout>
      </c:layout>
      <c:doughnutChart>
        <c:varyColors val="1"/>
        <c:ser>
          <c:idx val="0"/>
          <c:order val="0"/>
          <c:tx>
            <c:strRef>
              <c:f>agg_orders_channel_revenue!$F$3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A64-48BB-B6D1-3E88824D0561}"/>
              </c:ext>
            </c:extLst>
          </c:dPt>
          <c:dPt>
            <c:idx val="1"/>
            <c:bubble3D val="0"/>
            <c:spPr>
              <a:solidFill>
                <a:schemeClr val="accent2"/>
              </a:solidFill>
              <a:ln>
                <a:noFill/>
              </a:ln>
              <a:effectLst/>
            </c:spPr>
            <c:extLst>
              <c:ext xmlns:c16="http://schemas.microsoft.com/office/drawing/2014/chart" uri="{C3380CC4-5D6E-409C-BE32-E72D297353CC}">
                <c16:uniqueId val="{00000003-5A64-48BB-B6D1-3E88824D0561}"/>
              </c:ext>
            </c:extLst>
          </c:dPt>
          <c:dPt>
            <c:idx val="2"/>
            <c:bubble3D val="0"/>
            <c:spPr>
              <a:solidFill>
                <a:schemeClr val="accent3"/>
              </a:solidFill>
              <a:ln>
                <a:noFill/>
              </a:ln>
              <a:effectLst/>
            </c:spPr>
            <c:extLst>
              <c:ext xmlns:c16="http://schemas.microsoft.com/office/drawing/2014/chart" uri="{C3380CC4-5D6E-409C-BE32-E72D297353CC}">
                <c16:uniqueId val="{00000005-5A64-48BB-B6D1-3E88824D0561}"/>
              </c:ext>
            </c:extLst>
          </c:dPt>
          <c:cat>
            <c:strRef>
              <c:f>agg_orders_channel_revenue!$F$4</c:f>
              <c:strCache>
                <c:ptCount val="1"/>
                <c:pt idx="0">
                  <c:v>Total</c:v>
                </c:pt>
              </c:strCache>
            </c:strRef>
          </c:cat>
          <c:val>
            <c:numRef>
              <c:f>agg_orders_channel_revenue!$F$4</c:f>
              <c:numCache>
                <c:formatCode>General</c:formatCode>
                <c:ptCount val="1"/>
                <c:pt idx="0">
                  <c:v>0.40350000000000003</c:v>
                </c:pt>
              </c:numCache>
            </c:numRef>
          </c:val>
          <c:extLst>
            <c:ext xmlns:c16="http://schemas.microsoft.com/office/drawing/2014/chart" uri="{C3380CC4-5D6E-409C-BE32-E72D297353CC}">
              <c16:uniqueId val="{00000003-318B-4480-9FE7-E7EC0276556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[operations_dashboard.xlsx]agg_orders_channel_revenue!PivotTable16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Revenue by Channel</a:t>
            </a:r>
          </a:p>
        </c:rich>
      </c:tx>
      <c:layout>
        <c:manualLayout>
          <c:xMode val="edge"/>
          <c:yMode val="edge"/>
          <c:x val="0.34678112338369721"/>
          <c:y val="6.5742457250767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agg_orders_channel_revenue!$I$1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agg_orders_channel_revenue!$H$2:$H$5</c:f>
              <c:strCache>
                <c:ptCount val="3"/>
                <c:pt idx="0">
                  <c:v>POS</c:v>
                </c:pt>
                <c:pt idx="1">
                  <c:v>Shopify</c:v>
                </c:pt>
                <c:pt idx="2">
                  <c:v>Taobao</c:v>
                </c:pt>
              </c:strCache>
            </c:strRef>
          </c:cat>
          <c:val>
            <c:numRef>
              <c:f>agg_orders_channel_revenue!$I$2:$I$5</c:f>
              <c:numCache>
                <c:formatCode>General</c:formatCode>
                <c:ptCount val="3"/>
                <c:pt idx="0">
                  <c:v>150658989</c:v>
                </c:pt>
                <c:pt idx="1">
                  <c:v>120268275</c:v>
                </c:pt>
                <c:pt idx="2">
                  <c:v>102462372</c:v>
                </c:pt>
              </c:numCache>
            </c:numRef>
          </c:val>
          <c:extLst>
            <c:ext xmlns:c16="http://schemas.microsoft.com/office/drawing/2014/chart" uri="{C3380CC4-5D6E-409C-BE32-E72D297353CC}">
              <c16:uniqueId val="{00000000-9531-4536-B11D-D542922686BA}"/>
            </c:ext>
          </c:extLst>
        </c:ser>
        <c:dLbls>
          <c:dLblPos val="outEnd"/>
          <c:showLegendKey val="0"/>
          <c:showVal val="1"/>
          <c:showCatName val="0"/>
          <c:showSerName val="0"/>
          <c:showPercent val="0"/>
          <c:showBubbleSize val="0"/>
        </c:dLbls>
        <c:gapWidth val="219"/>
        <c:overlap val="-27"/>
        <c:axId val="1965194544"/>
        <c:axId val="2053531728"/>
      </c:barChart>
      <c:catAx>
        <c:axId val="196519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53531728"/>
        <c:crosses val="autoZero"/>
        <c:auto val="1"/>
        <c:lblAlgn val="ctr"/>
        <c:lblOffset val="100"/>
        <c:noMultiLvlLbl val="0"/>
      </c:catAx>
      <c:valAx>
        <c:axId val="205353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6519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[operations_dashboard.xlsx]agg_orders_channel_revenue!PivotTable17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agg_orders_channel_revenue!$F$16</c:f>
              <c:strCache>
                <c:ptCount val="1"/>
                <c:pt idx="0">
                  <c:v>Sum of total_revenue</c:v>
                </c:pt>
              </c:strCache>
            </c:strRef>
          </c:tx>
          <c:spPr>
            <a:solidFill>
              <a:schemeClr val="accent1"/>
            </a:solidFill>
            <a:ln>
              <a:noFill/>
            </a:ln>
            <a:effectLst/>
          </c:spPr>
          <c:invertIfNegative val="0"/>
          <c:cat>
            <c:strRef>
              <c:f>agg_orders_channel_revenue!$E$17:$E$23</c:f>
              <c:strCache>
                <c:ptCount val="6"/>
                <c:pt idx="0">
                  <c:v>Books</c:v>
                </c:pt>
                <c:pt idx="1">
                  <c:v>Clothing</c:v>
                </c:pt>
                <c:pt idx="2">
                  <c:v>Electronics</c:v>
                </c:pt>
                <c:pt idx="3">
                  <c:v>Food</c:v>
                </c:pt>
                <c:pt idx="4">
                  <c:v>Home</c:v>
                </c:pt>
                <c:pt idx="5">
                  <c:v>Toys</c:v>
                </c:pt>
              </c:strCache>
            </c:strRef>
          </c:cat>
          <c:val>
            <c:numRef>
              <c:f>agg_orders_channel_revenue!$F$17:$F$23</c:f>
              <c:numCache>
                <c:formatCode>General</c:formatCode>
                <c:ptCount val="6"/>
                <c:pt idx="0">
                  <c:v>16939733</c:v>
                </c:pt>
                <c:pt idx="1">
                  <c:v>17124789</c:v>
                </c:pt>
                <c:pt idx="2">
                  <c:v>16901708</c:v>
                </c:pt>
                <c:pt idx="3">
                  <c:v>17199616</c:v>
                </c:pt>
                <c:pt idx="4">
                  <c:v>17116443</c:v>
                </c:pt>
                <c:pt idx="5">
                  <c:v>17180083</c:v>
                </c:pt>
              </c:numCache>
            </c:numRef>
          </c:val>
          <c:extLst>
            <c:ext xmlns:c16="http://schemas.microsoft.com/office/drawing/2014/chart" uri="{C3380CC4-5D6E-409C-BE32-E72D297353CC}">
              <c16:uniqueId val="{00000000-AA96-4071-9A5C-B2948030A666}"/>
            </c:ext>
          </c:extLst>
        </c:ser>
        <c:dLbls>
          <c:showLegendKey val="0"/>
          <c:showVal val="0"/>
          <c:showCatName val="0"/>
          <c:showSerName val="0"/>
          <c:showPercent val="0"/>
          <c:showBubbleSize val="0"/>
        </c:dLbls>
        <c:gapWidth val="219"/>
        <c:axId val="1377443120"/>
        <c:axId val="1377443600"/>
      </c:barChart>
      <c:lineChart>
        <c:grouping val="standard"/>
        <c:varyColors val="0"/>
        <c:ser>
          <c:idx val="1"/>
          <c:order val="1"/>
          <c:tx>
            <c:strRef>
              <c:f>agg_orders_channel_revenue!$G$16</c:f>
              <c:strCache>
                <c:ptCount val="1"/>
                <c:pt idx="0">
                  <c:v>Sum of order_count</c:v>
                </c:pt>
              </c:strCache>
            </c:strRef>
          </c:tx>
          <c:spPr>
            <a:ln w="28575" cap="rnd">
              <a:solidFill>
                <a:schemeClr val="accent2"/>
              </a:solidFill>
              <a:round/>
            </a:ln>
            <a:effectLst/>
          </c:spPr>
          <c:marker>
            <c:symbol val="none"/>
          </c:marker>
          <c:cat>
            <c:strRef>
              <c:f>agg_orders_channel_revenue!$E$17:$E$23</c:f>
              <c:strCache>
                <c:ptCount val="6"/>
                <c:pt idx="0">
                  <c:v>Books</c:v>
                </c:pt>
                <c:pt idx="1">
                  <c:v>Clothing</c:v>
                </c:pt>
                <c:pt idx="2">
                  <c:v>Electronics</c:v>
                </c:pt>
                <c:pt idx="3">
                  <c:v>Food</c:v>
                </c:pt>
                <c:pt idx="4">
                  <c:v>Home</c:v>
                </c:pt>
                <c:pt idx="5">
                  <c:v>Toys</c:v>
                </c:pt>
              </c:strCache>
            </c:strRef>
          </c:cat>
          <c:val>
            <c:numRef>
              <c:f>agg_orders_channel_revenue!$G$17:$G$23</c:f>
              <c:numCache>
                <c:formatCode>General</c:formatCode>
                <c:ptCount val="6"/>
                <c:pt idx="0">
                  <c:v>16505</c:v>
                </c:pt>
                <c:pt idx="1">
                  <c:v>16615</c:v>
                </c:pt>
                <c:pt idx="2">
                  <c:v>16614</c:v>
                </c:pt>
                <c:pt idx="3">
                  <c:v>16688</c:v>
                </c:pt>
                <c:pt idx="4">
                  <c:v>16729</c:v>
                </c:pt>
                <c:pt idx="5">
                  <c:v>16704</c:v>
                </c:pt>
              </c:numCache>
            </c:numRef>
          </c:val>
          <c:smooth val="0"/>
          <c:extLst>
            <c:ext xmlns:c16="http://schemas.microsoft.com/office/drawing/2014/chart" uri="{C3380CC4-5D6E-409C-BE32-E72D297353CC}">
              <c16:uniqueId val="{00000002-AA96-4071-9A5C-B2948030A666}"/>
            </c:ext>
          </c:extLst>
        </c:ser>
        <c:dLbls>
          <c:showLegendKey val="0"/>
          <c:showVal val="0"/>
          <c:showCatName val="0"/>
          <c:showSerName val="0"/>
          <c:showPercent val="0"/>
          <c:showBubbleSize val="0"/>
        </c:dLbls>
        <c:marker val="1"/>
        <c:smooth val="0"/>
        <c:axId val="1968887968"/>
        <c:axId val="1968887488"/>
      </c:lineChart>
      <c:catAx>
        <c:axId val="137744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7443600"/>
        <c:crosses val="autoZero"/>
        <c:auto val="1"/>
        <c:lblAlgn val="ctr"/>
        <c:lblOffset val="100"/>
        <c:noMultiLvlLbl val="0"/>
      </c:catAx>
      <c:valAx>
        <c:axId val="1377443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7443120"/>
        <c:crosses val="autoZero"/>
        <c:crossBetween val="between"/>
      </c:valAx>
      <c:valAx>
        <c:axId val="19688874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68887968"/>
        <c:crosses val="max"/>
        <c:crossBetween val="between"/>
      </c:valAx>
      <c:catAx>
        <c:axId val="1968887968"/>
        <c:scaling>
          <c:orientation val="minMax"/>
        </c:scaling>
        <c:delete val="1"/>
        <c:axPos val="b"/>
        <c:numFmt formatCode="General" sourceLinked="1"/>
        <c:majorTickMark val="out"/>
        <c:minorTickMark val="none"/>
        <c:tickLblPos val="nextTo"/>
        <c:crossAx val="1968887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[operations_dashboard.xlsx]agg_orders_channel_revenue!PivotTable18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agg_orders_channel_revenue!$F$30</c:f>
              <c:strCache>
                <c:ptCount val="1"/>
                <c:pt idx="0">
                  <c:v>Sum of total_revenue</c:v>
                </c:pt>
              </c:strCache>
            </c:strRef>
          </c:tx>
          <c:spPr>
            <a:solidFill>
              <a:schemeClr val="accent1"/>
            </a:solidFill>
            <a:ln>
              <a:noFill/>
            </a:ln>
            <a:effectLst/>
          </c:spPr>
          <c:invertIfNegative val="0"/>
          <c:cat>
            <c:strRef>
              <c:f>agg_orders_channel_revenue!$E$31:$E$37</c:f>
              <c:strCache>
                <c:ptCount val="6"/>
                <c:pt idx="0">
                  <c:v>Chicago</c:v>
                </c:pt>
                <c:pt idx="1">
                  <c:v>Houston</c:v>
                </c:pt>
                <c:pt idx="2">
                  <c:v>LA</c:v>
                </c:pt>
                <c:pt idx="3">
                  <c:v>Miami</c:v>
                </c:pt>
                <c:pt idx="4">
                  <c:v>New York</c:v>
                </c:pt>
                <c:pt idx="5">
                  <c:v>Seattle</c:v>
                </c:pt>
              </c:strCache>
            </c:strRef>
          </c:cat>
          <c:val>
            <c:numRef>
              <c:f>agg_orders_channel_revenue!$F$31:$F$37</c:f>
              <c:numCache>
                <c:formatCode>General</c:formatCode>
                <c:ptCount val="6"/>
                <c:pt idx="0">
                  <c:v>19876871</c:v>
                </c:pt>
                <c:pt idx="1">
                  <c:v>19926196</c:v>
                </c:pt>
                <c:pt idx="2">
                  <c:v>19920212</c:v>
                </c:pt>
                <c:pt idx="3">
                  <c:v>20376658</c:v>
                </c:pt>
                <c:pt idx="4">
                  <c:v>20077016</c:v>
                </c:pt>
                <c:pt idx="5">
                  <c:v>20091322</c:v>
                </c:pt>
              </c:numCache>
            </c:numRef>
          </c:val>
          <c:extLst>
            <c:ext xmlns:c16="http://schemas.microsoft.com/office/drawing/2014/chart" uri="{C3380CC4-5D6E-409C-BE32-E72D297353CC}">
              <c16:uniqueId val="{00000000-827D-413E-B760-89F6D0CD4600}"/>
            </c:ext>
          </c:extLst>
        </c:ser>
        <c:dLbls>
          <c:showLegendKey val="0"/>
          <c:showVal val="0"/>
          <c:showCatName val="0"/>
          <c:showSerName val="0"/>
          <c:showPercent val="0"/>
          <c:showBubbleSize val="0"/>
        </c:dLbls>
        <c:gapWidth val="219"/>
        <c:axId val="2088976768"/>
        <c:axId val="2088978208"/>
      </c:barChart>
      <c:lineChart>
        <c:grouping val="standard"/>
        <c:varyColors val="0"/>
        <c:ser>
          <c:idx val="1"/>
          <c:order val="1"/>
          <c:tx>
            <c:strRef>
              <c:f>agg_orders_channel_revenue!$G$30</c:f>
              <c:strCache>
                <c:ptCount val="1"/>
                <c:pt idx="0">
                  <c:v>Sum of order_count</c:v>
                </c:pt>
              </c:strCache>
            </c:strRef>
          </c:tx>
          <c:spPr>
            <a:ln w="28575" cap="rnd">
              <a:solidFill>
                <a:schemeClr val="accent2"/>
              </a:solidFill>
              <a:round/>
            </a:ln>
            <a:effectLst/>
          </c:spPr>
          <c:marker>
            <c:symbol val="none"/>
          </c:marker>
          <c:cat>
            <c:strRef>
              <c:f>agg_orders_channel_revenue!$E$31:$E$37</c:f>
              <c:strCache>
                <c:ptCount val="6"/>
                <c:pt idx="0">
                  <c:v>Chicago</c:v>
                </c:pt>
                <c:pt idx="1">
                  <c:v>Houston</c:v>
                </c:pt>
                <c:pt idx="2">
                  <c:v>LA</c:v>
                </c:pt>
                <c:pt idx="3">
                  <c:v>Miami</c:v>
                </c:pt>
                <c:pt idx="4">
                  <c:v>New York</c:v>
                </c:pt>
                <c:pt idx="5">
                  <c:v>Seattle</c:v>
                </c:pt>
              </c:strCache>
            </c:strRef>
          </c:cat>
          <c:val>
            <c:numRef>
              <c:f>agg_orders_channel_revenue!$G$31:$G$37</c:f>
              <c:numCache>
                <c:formatCode>General</c:formatCode>
                <c:ptCount val="6"/>
                <c:pt idx="0">
                  <c:v>16509</c:v>
                </c:pt>
                <c:pt idx="1">
                  <c:v>16532</c:v>
                </c:pt>
                <c:pt idx="2">
                  <c:v>16656</c:v>
                </c:pt>
                <c:pt idx="3">
                  <c:v>16834</c:v>
                </c:pt>
                <c:pt idx="4">
                  <c:v>16691</c:v>
                </c:pt>
                <c:pt idx="5">
                  <c:v>16643</c:v>
                </c:pt>
              </c:numCache>
            </c:numRef>
          </c:val>
          <c:smooth val="0"/>
          <c:extLst>
            <c:ext xmlns:c16="http://schemas.microsoft.com/office/drawing/2014/chart" uri="{C3380CC4-5D6E-409C-BE32-E72D297353CC}">
              <c16:uniqueId val="{00000002-827D-413E-B760-89F6D0CD4600}"/>
            </c:ext>
          </c:extLst>
        </c:ser>
        <c:dLbls>
          <c:showLegendKey val="0"/>
          <c:showVal val="0"/>
          <c:showCatName val="0"/>
          <c:showSerName val="0"/>
          <c:showPercent val="0"/>
          <c:showBubbleSize val="0"/>
        </c:dLbls>
        <c:marker val="1"/>
        <c:smooth val="0"/>
        <c:axId val="1960756384"/>
        <c:axId val="1960757344"/>
      </c:lineChart>
      <c:catAx>
        <c:axId val="208897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88978208"/>
        <c:crosses val="autoZero"/>
        <c:auto val="1"/>
        <c:lblAlgn val="ctr"/>
        <c:lblOffset val="100"/>
        <c:noMultiLvlLbl val="0"/>
      </c:catAx>
      <c:valAx>
        <c:axId val="208897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88976768"/>
        <c:crosses val="autoZero"/>
        <c:crossBetween val="between"/>
      </c:valAx>
      <c:valAx>
        <c:axId val="19607573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960756384"/>
        <c:crosses val="max"/>
        <c:crossBetween val="between"/>
      </c:valAx>
      <c:catAx>
        <c:axId val="1960756384"/>
        <c:scaling>
          <c:orientation val="minMax"/>
        </c:scaling>
        <c:delete val="1"/>
        <c:axPos val="b"/>
        <c:numFmt formatCode="General" sourceLinked="1"/>
        <c:majorTickMark val="out"/>
        <c:minorTickMark val="none"/>
        <c:tickLblPos val="nextTo"/>
        <c:crossAx val="19607573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[operations_dashboard.xlsx]agg_orders_channel_revenue!PivotTable20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agg_orders_channel_revenue!$F$43</c:f>
              <c:strCache>
                <c:ptCount val="1"/>
                <c:pt idx="0">
                  <c:v>Sum of total_revenue</c:v>
                </c:pt>
              </c:strCache>
            </c:strRef>
          </c:tx>
          <c:spPr>
            <a:solidFill>
              <a:schemeClr val="accent1"/>
            </a:solidFill>
            <a:ln>
              <a:noFill/>
            </a:ln>
            <a:effectLst/>
          </c:spPr>
          <c:invertIfNegative val="0"/>
          <c:cat>
            <c:strRef>
              <c:f>agg_orders_channel_revenue!$E$44:$E$48</c:f>
              <c:strCache>
                <c:ptCount val="4"/>
                <c:pt idx="0">
                  <c:v>Alipay</c:v>
                </c:pt>
                <c:pt idx="1">
                  <c:v>Cash</c:v>
                </c:pt>
                <c:pt idx="2">
                  <c:v>Credit Card</c:v>
                </c:pt>
                <c:pt idx="3">
                  <c:v>WeChat Pay</c:v>
                </c:pt>
              </c:strCache>
            </c:strRef>
          </c:cat>
          <c:val>
            <c:numRef>
              <c:f>agg_orders_channel_revenue!$F$44:$F$48</c:f>
              <c:numCache>
                <c:formatCode>General</c:formatCode>
                <c:ptCount val="4"/>
                <c:pt idx="0">
                  <c:v>37935856</c:v>
                </c:pt>
                <c:pt idx="1">
                  <c:v>37606169</c:v>
                </c:pt>
                <c:pt idx="2">
                  <c:v>37403664</c:v>
                </c:pt>
                <c:pt idx="3">
                  <c:v>37713300</c:v>
                </c:pt>
              </c:numCache>
            </c:numRef>
          </c:val>
          <c:extLst>
            <c:ext xmlns:c16="http://schemas.microsoft.com/office/drawing/2014/chart" uri="{C3380CC4-5D6E-409C-BE32-E72D297353CC}">
              <c16:uniqueId val="{00000000-82B7-405C-AE66-4FD21E66F99E}"/>
            </c:ext>
          </c:extLst>
        </c:ser>
        <c:dLbls>
          <c:showLegendKey val="0"/>
          <c:showVal val="0"/>
          <c:showCatName val="0"/>
          <c:showSerName val="0"/>
          <c:showPercent val="0"/>
          <c:showBubbleSize val="0"/>
        </c:dLbls>
        <c:gapWidth val="219"/>
        <c:axId val="1363491824"/>
        <c:axId val="1363492784"/>
      </c:barChart>
      <c:lineChart>
        <c:grouping val="standard"/>
        <c:varyColors val="0"/>
        <c:ser>
          <c:idx val="1"/>
          <c:order val="1"/>
          <c:tx>
            <c:strRef>
              <c:f>agg_orders_channel_revenue!$G$43</c:f>
              <c:strCache>
                <c:ptCount val="1"/>
                <c:pt idx="0">
                  <c:v>Sum of order_count</c:v>
                </c:pt>
              </c:strCache>
            </c:strRef>
          </c:tx>
          <c:spPr>
            <a:ln w="28575" cap="rnd">
              <a:solidFill>
                <a:schemeClr val="accent2"/>
              </a:solidFill>
              <a:round/>
            </a:ln>
            <a:effectLst/>
          </c:spPr>
          <c:marker>
            <c:symbol val="none"/>
          </c:marker>
          <c:cat>
            <c:strRef>
              <c:f>agg_orders_channel_revenue!$E$44:$E$48</c:f>
              <c:strCache>
                <c:ptCount val="4"/>
                <c:pt idx="0">
                  <c:v>Alipay</c:v>
                </c:pt>
                <c:pt idx="1">
                  <c:v>Cash</c:v>
                </c:pt>
                <c:pt idx="2">
                  <c:v>Credit Card</c:v>
                </c:pt>
                <c:pt idx="3">
                  <c:v>WeChat Pay</c:v>
                </c:pt>
              </c:strCache>
            </c:strRef>
          </c:cat>
          <c:val>
            <c:numRef>
              <c:f>agg_orders_channel_revenue!$G$44:$G$48</c:f>
              <c:numCache>
                <c:formatCode>General</c:formatCode>
                <c:ptCount val="4"/>
                <c:pt idx="0">
                  <c:v>25046</c:v>
                </c:pt>
                <c:pt idx="1">
                  <c:v>24971</c:v>
                </c:pt>
                <c:pt idx="2">
                  <c:v>24874</c:v>
                </c:pt>
                <c:pt idx="3">
                  <c:v>24984</c:v>
                </c:pt>
              </c:numCache>
            </c:numRef>
          </c:val>
          <c:smooth val="0"/>
          <c:extLst>
            <c:ext xmlns:c16="http://schemas.microsoft.com/office/drawing/2014/chart" uri="{C3380CC4-5D6E-409C-BE32-E72D297353CC}">
              <c16:uniqueId val="{00000002-82B7-405C-AE66-4FD21E66F99E}"/>
            </c:ext>
          </c:extLst>
        </c:ser>
        <c:dLbls>
          <c:showLegendKey val="0"/>
          <c:showVal val="0"/>
          <c:showCatName val="0"/>
          <c:showSerName val="0"/>
          <c:showPercent val="0"/>
          <c:showBubbleSize val="0"/>
        </c:dLbls>
        <c:marker val="1"/>
        <c:smooth val="0"/>
        <c:axId val="2092455584"/>
        <c:axId val="2092457984"/>
      </c:lineChart>
      <c:catAx>
        <c:axId val="136349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63492784"/>
        <c:crosses val="autoZero"/>
        <c:auto val="1"/>
        <c:lblAlgn val="ctr"/>
        <c:lblOffset val="100"/>
        <c:noMultiLvlLbl val="0"/>
      </c:catAx>
      <c:valAx>
        <c:axId val="136349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63491824"/>
        <c:crosses val="autoZero"/>
        <c:crossBetween val="between"/>
      </c:valAx>
      <c:valAx>
        <c:axId val="20924579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2092455584"/>
        <c:crosses val="max"/>
        <c:crossBetween val="between"/>
      </c:valAx>
      <c:catAx>
        <c:axId val="2092455584"/>
        <c:scaling>
          <c:orientation val="minMax"/>
        </c:scaling>
        <c:delete val="1"/>
        <c:axPos val="b"/>
        <c:numFmt formatCode="General" sourceLinked="1"/>
        <c:majorTickMark val="out"/>
        <c:minorTickMark val="none"/>
        <c:tickLblPos val="nextTo"/>
        <c:crossAx val="20924579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[operations_dashboard.xlsx]agg_orders_channel_revenue!PivotTable21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doughnutChart>
        <c:varyColors val="1"/>
        <c:ser>
          <c:idx val="0"/>
          <c:order val="0"/>
          <c:tx>
            <c:strRef>
              <c:f>agg_orders_channel_revenue!$F$52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110-48D0-B631-A4CBDDA5E8E7}"/>
              </c:ext>
            </c:extLst>
          </c:dPt>
          <c:dPt>
            <c:idx val="1"/>
            <c:bubble3D val="0"/>
            <c:spPr>
              <a:solidFill>
                <a:schemeClr val="accent2"/>
              </a:solidFill>
              <a:ln>
                <a:noFill/>
              </a:ln>
              <a:effectLst/>
            </c:spPr>
            <c:extLst>
              <c:ext xmlns:c16="http://schemas.microsoft.com/office/drawing/2014/chart" uri="{C3380CC4-5D6E-409C-BE32-E72D297353CC}">
                <c16:uniqueId val="{00000003-2110-48D0-B631-A4CBDDA5E8E7}"/>
              </c:ext>
            </c:extLst>
          </c:dPt>
          <c:dPt>
            <c:idx val="2"/>
            <c:bubble3D val="0"/>
            <c:spPr>
              <a:solidFill>
                <a:schemeClr val="accent3"/>
              </a:solidFill>
              <a:ln>
                <a:noFill/>
              </a:ln>
              <a:effectLst/>
            </c:spPr>
            <c:extLst>
              <c:ext xmlns:c16="http://schemas.microsoft.com/office/drawing/2014/chart" uri="{C3380CC4-5D6E-409C-BE32-E72D297353CC}">
                <c16:uniqueId val="{00000005-2110-48D0-B631-A4CBDDA5E8E7}"/>
              </c:ext>
            </c:extLst>
          </c:dPt>
          <c:dPt>
            <c:idx val="3"/>
            <c:bubble3D val="0"/>
            <c:spPr>
              <a:solidFill>
                <a:schemeClr val="accent4"/>
              </a:solidFill>
              <a:ln>
                <a:noFill/>
              </a:ln>
              <a:effectLst/>
            </c:spPr>
            <c:extLst>
              <c:ext xmlns:c16="http://schemas.microsoft.com/office/drawing/2014/chart" uri="{C3380CC4-5D6E-409C-BE32-E72D297353CC}">
                <c16:uniqueId val="{00000007-2110-48D0-B631-A4CBDDA5E8E7}"/>
              </c:ext>
            </c:extLst>
          </c:dPt>
          <c:cat>
            <c:strRef>
              <c:f>agg_orders_channel_revenue!$E$53:$E$57</c:f>
              <c:strCache>
                <c:ptCount val="4"/>
                <c:pt idx="0">
                  <c:v>Alipay</c:v>
                </c:pt>
                <c:pt idx="1">
                  <c:v>Cash</c:v>
                </c:pt>
                <c:pt idx="2">
                  <c:v>Credit Card</c:v>
                </c:pt>
                <c:pt idx="3">
                  <c:v>WeChat Pay</c:v>
                </c:pt>
              </c:strCache>
            </c:strRef>
          </c:cat>
          <c:val>
            <c:numRef>
              <c:f>agg_orders_channel_revenue!$F$53:$F$57</c:f>
              <c:numCache>
                <c:formatCode>General</c:formatCode>
                <c:ptCount val="4"/>
                <c:pt idx="0">
                  <c:v>25.18</c:v>
                </c:pt>
                <c:pt idx="1">
                  <c:v>24.96</c:v>
                </c:pt>
                <c:pt idx="2">
                  <c:v>24.83</c:v>
                </c:pt>
                <c:pt idx="3">
                  <c:v>25.03</c:v>
                </c:pt>
              </c:numCache>
            </c:numRef>
          </c:val>
          <c:extLst>
            <c:ext xmlns:c16="http://schemas.microsoft.com/office/drawing/2014/chart" uri="{C3380CC4-5D6E-409C-BE32-E72D297353CC}">
              <c16:uniqueId val="{00000000-AD3B-4E10-ABA2-FF9D2FB8852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61912</xdr:colOff>
      <xdr:row>0</xdr:row>
      <xdr:rowOff>33338</xdr:rowOff>
    </xdr:from>
    <xdr:to>
      <xdr:col>10</xdr:col>
      <xdr:colOff>100012</xdr:colOff>
      <xdr:row>14</xdr:row>
      <xdr:rowOff>123825</xdr:rowOff>
    </xdr:to>
    <xdr:graphicFrame macro="">
      <xdr:nvGraphicFramePr>
        <xdr:cNvPr id="2" name="Chart 1">
          <a:extLst>
            <a:ext uri="{FF2B5EF4-FFF2-40B4-BE49-F238E27FC236}">
              <a16:creationId xmlns:a16="http://schemas.microsoft.com/office/drawing/2014/main" id="{555208AF-7DA7-E2C2-9123-6C6C8452A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xdr:colOff>
      <xdr:row>17</xdr:row>
      <xdr:rowOff>42862</xdr:rowOff>
    </xdr:from>
    <xdr:to>
      <xdr:col>13</xdr:col>
      <xdr:colOff>595312</xdr:colOff>
      <xdr:row>32</xdr:row>
      <xdr:rowOff>142874</xdr:rowOff>
    </xdr:to>
    <xdr:graphicFrame macro="">
      <xdr:nvGraphicFramePr>
        <xdr:cNvPr id="3" name="Chart 2">
          <a:extLst>
            <a:ext uri="{FF2B5EF4-FFF2-40B4-BE49-F238E27FC236}">
              <a16:creationId xmlns:a16="http://schemas.microsoft.com/office/drawing/2014/main" id="{65A5424A-F85A-4BED-9CA2-9E176D513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942975</xdr:colOff>
      <xdr:row>6</xdr:row>
      <xdr:rowOff>142877</xdr:rowOff>
    </xdr:from>
    <xdr:to>
      <xdr:col>2</xdr:col>
      <xdr:colOff>1419225</xdr:colOff>
      <xdr:row>11</xdr:row>
      <xdr:rowOff>61912</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7ED2EFBB-4C9C-ADC0-E6A9-1313895A17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57363" y="1200151"/>
              <a:ext cx="1828800" cy="1485904"/>
            </a:xfrm>
            <a:prstGeom prst="rect">
              <a:avLst/>
            </a:prstGeom>
            <a:solidFill>
              <a:prstClr val="white"/>
            </a:solidFill>
            <a:ln w="1">
              <a:solidFill>
                <a:prstClr val="green"/>
              </a:solidFill>
            </a:ln>
          </xdr:spPr>
          <xdr:txBody>
            <a:bodyPr vertOverflow="clip" horzOverflow="clip"/>
            <a:lstStyle/>
            <a:p>
              <a:r>
                <a:rPr lang="zh-CN" alt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204786</xdr:colOff>
      <xdr:row>0</xdr:row>
      <xdr:rowOff>109538</xdr:rowOff>
    </xdr:from>
    <xdr:to>
      <xdr:col>8</xdr:col>
      <xdr:colOff>366712</xdr:colOff>
      <xdr:row>15</xdr:row>
      <xdr:rowOff>61912</xdr:rowOff>
    </xdr:to>
    <xdr:graphicFrame macro="">
      <xdr:nvGraphicFramePr>
        <xdr:cNvPr id="2" name="Chart 1">
          <a:extLst>
            <a:ext uri="{FF2B5EF4-FFF2-40B4-BE49-F238E27FC236}">
              <a16:creationId xmlns:a16="http://schemas.microsoft.com/office/drawing/2014/main" id="{4B1F61DE-B622-57EF-9399-87A032357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204787</xdr:colOff>
      <xdr:row>17</xdr:row>
      <xdr:rowOff>52387</xdr:rowOff>
    </xdr:from>
    <xdr:to>
      <xdr:col>8</xdr:col>
      <xdr:colOff>342900</xdr:colOff>
      <xdr:row>31</xdr:row>
      <xdr:rowOff>7142</xdr:rowOff>
    </xdr:to>
    <xdr:graphicFrame macro="">
      <xdr:nvGraphicFramePr>
        <xdr:cNvPr id="3" name="Chart 2">
          <a:extLst>
            <a:ext uri="{FF2B5EF4-FFF2-40B4-BE49-F238E27FC236}">
              <a16:creationId xmlns:a16="http://schemas.microsoft.com/office/drawing/2014/main" id="{793436D6-88EE-436A-8912-444301466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409583</xdr:colOff>
      <xdr:row>0</xdr:row>
      <xdr:rowOff>80963</xdr:rowOff>
    </xdr:from>
    <xdr:to>
      <xdr:col>11</xdr:col>
      <xdr:colOff>333376</xdr:colOff>
      <xdr:row>14</xdr:row>
      <xdr:rowOff>57150</xdr:rowOff>
    </xdr:to>
    <xdr:graphicFrame macro="">
      <xdr:nvGraphicFramePr>
        <xdr:cNvPr id="2" name="Chart 1">
          <a:extLst>
            <a:ext uri="{FF2B5EF4-FFF2-40B4-BE49-F238E27FC236}">
              <a16:creationId xmlns:a16="http://schemas.microsoft.com/office/drawing/2014/main" id="{87948CC3-3889-6084-07DB-6D509DAA0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157162</xdr:colOff>
      <xdr:row>28</xdr:row>
      <xdr:rowOff>38100</xdr:rowOff>
    </xdr:from>
    <xdr:to>
      <xdr:col>9</xdr:col>
      <xdr:colOff>457200</xdr:colOff>
      <xdr:row>44</xdr:row>
      <xdr:rowOff>171449</xdr:rowOff>
    </xdr:to>
    <xdr:graphicFrame macro="">
      <xdr:nvGraphicFramePr>
        <xdr:cNvPr id="3" name="Chart 2">
          <a:extLst>
            <a:ext uri="{FF2B5EF4-FFF2-40B4-BE49-F238E27FC236}">
              <a16:creationId xmlns:a16="http://schemas.microsoft.com/office/drawing/2014/main" id="{50946A47-C523-4FC1-9DD3-8442D3568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14289</xdr:colOff>
      <xdr:row>5</xdr:row>
      <xdr:rowOff>111126</xdr:rowOff>
    </xdr:from>
    <xdr:to>
      <xdr:col>7</xdr:col>
      <xdr:colOff>0</xdr:colOff>
      <xdr:row>13</xdr:row>
      <xdr:rowOff>164041</xdr:rowOff>
    </xdr:to>
    <xdr:graphicFrame macro="">
      <xdr:nvGraphicFramePr>
        <xdr:cNvPr id="2" name="Chart 1">
          <a:extLst>
            <a:ext uri="{FF2B5EF4-FFF2-40B4-BE49-F238E27FC236}">
              <a16:creationId xmlns:a16="http://schemas.microsoft.com/office/drawing/2014/main" id="{CE9F636A-AD68-E73B-529C-FEE48980AD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63235</xdr:colOff>
      <xdr:row>5</xdr:row>
      <xdr:rowOff>121707</xdr:rowOff>
    </xdr:from>
    <xdr:to>
      <xdr:col>10</xdr:col>
      <xdr:colOff>720196</xdr:colOff>
      <xdr:row>14</xdr:row>
      <xdr:rowOff>52917</xdr:rowOff>
    </xdr:to>
    <xdr:graphicFrame macro="">
      <xdr:nvGraphicFramePr>
        <xdr:cNvPr id="3" name="Chart 2">
          <a:extLst>
            <a:ext uri="{FF2B5EF4-FFF2-40B4-BE49-F238E27FC236}">
              <a16:creationId xmlns:a16="http://schemas.microsoft.com/office/drawing/2014/main" id="{7EA6C312-76FF-4BED-0EBC-0C2FF7A2E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84667</xdr:colOff>
      <xdr:row>14</xdr:row>
      <xdr:rowOff>142873</xdr:rowOff>
    </xdr:from>
    <xdr:to>
      <xdr:col>11</xdr:col>
      <xdr:colOff>619125</xdr:colOff>
      <xdr:row>27</xdr:row>
      <xdr:rowOff>132288</xdr:rowOff>
    </xdr:to>
    <xdr:graphicFrame macro="">
      <xdr:nvGraphicFramePr>
        <xdr:cNvPr id="4" name="Chart 3">
          <a:extLst>
            <a:ext uri="{FF2B5EF4-FFF2-40B4-BE49-F238E27FC236}">
              <a16:creationId xmlns:a16="http://schemas.microsoft.com/office/drawing/2014/main" id="{2E699072-F098-18D9-ACF8-F80C6A53C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92605</xdr:colOff>
      <xdr:row>28</xdr:row>
      <xdr:rowOff>15875</xdr:rowOff>
    </xdr:from>
    <xdr:to>
      <xdr:col>10</xdr:col>
      <xdr:colOff>894293</xdr:colOff>
      <xdr:row>40</xdr:row>
      <xdr:rowOff>109537</xdr:rowOff>
    </xdr:to>
    <xdr:graphicFrame macro="">
      <xdr:nvGraphicFramePr>
        <xdr:cNvPr id="5" name="Chart 4">
          <a:extLst>
            <a:ext uri="{FF2B5EF4-FFF2-40B4-BE49-F238E27FC236}">
              <a16:creationId xmlns:a16="http://schemas.microsoft.com/office/drawing/2014/main" id="{B06FF104-692D-1FEF-C2BE-754879DF8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84666</xdr:colOff>
      <xdr:row>42</xdr:row>
      <xdr:rowOff>1587</xdr:rowOff>
    </xdr:from>
    <xdr:to>
      <xdr:col>10</xdr:col>
      <xdr:colOff>280457</xdr:colOff>
      <xdr:row>57</xdr:row>
      <xdr:rowOff>125411</xdr:rowOff>
    </xdr:to>
    <xdr:graphicFrame macro="">
      <xdr:nvGraphicFramePr>
        <xdr:cNvPr id="7" name="Chart 6">
          <a:extLst>
            <a:ext uri="{FF2B5EF4-FFF2-40B4-BE49-F238E27FC236}">
              <a16:creationId xmlns:a16="http://schemas.microsoft.com/office/drawing/2014/main" id="{E100F9E6-6BDC-0F1B-BE22-A84C4879D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105833</xdr:colOff>
      <xdr:row>47</xdr:row>
      <xdr:rowOff>22753</xdr:rowOff>
    </xdr:from>
    <xdr:to>
      <xdr:col>3</xdr:col>
      <xdr:colOff>905404</xdr:colOff>
      <xdr:row>57</xdr:row>
      <xdr:rowOff>169332</xdr:rowOff>
    </xdr:to>
    <xdr:graphicFrame macro="">
      <xdr:nvGraphicFramePr>
        <xdr:cNvPr id="8" name="Chart 7">
          <a:extLst>
            <a:ext uri="{FF2B5EF4-FFF2-40B4-BE49-F238E27FC236}">
              <a16:creationId xmlns:a16="http://schemas.microsoft.com/office/drawing/2014/main" id="{079C121D-EE3C-0FD5-2EDC-A7C4F5331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menwang" refreshedDate="46194.478206250002" createdVersion="8" refreshedVersion="8" minRefreshableVersion="3" recordCount="732" xr:uid="{406F3739-713E-4A1C-9BCE-DA39136DE0C8}">
  <cacheSource type="worksheet">
    <worksheetSource ref="A1:G1048576" sheet="agg_orders_daily_revenue"/>
  </cacheSource>
  <cacheFields count="7">
    <cacheField name="Order_Date" numFmtId="0">
      <sharedItems containsNonDate="0" containsDate="1" containsString="0" containsBlank="1" minDate="2024-01-01T00:00:00" maxDate="2026-01-01T00:00:00"/>
    </cacheField>
    <cacheField name="daily_revenue" numFmtId="0">
      <sharedItems containsString="0" containsBlank="1" containsNumber="1" containsInteger="1" minValue="428780" maxValue="608531"/>
    </cacheField>
    <cacheField name="revenue_7d_ma" numFmtId="0">
      <sharedItems containsString="0" containsBlank="1" containsNumber="1" minValue="475380.14" maxValue="538467"/>
    </cacheField>
    <cacheField name="order_count" numFmtId="0">
      <sharedItems containsString="0" containsBlank="1" containsNumber="1" containsInteger="1" minValue="344" maxValue="478"/>
    </cacheField>
    <cacheField name="Year" numFmtId="0">
      <sharedItems containsString="0" containsBlank="1" containsNumber="1" containsInteger="1" minValue="2024" maxValue="2025" count="3">
        <n v="2024"/>
        <n v="2025"/>
        <m/>
      </sharedItems>
    </cacheField>
    <cacheField name="Month" numFmtId="0">
      <sharedItems containsString="0" containsBlank="1" containsNumber="1" containsInteger="1" minValue="1" maxValue="12"/>
    </cacheField>
    <cacheField name="YearMonth" numFmtId="0">
      <sharedItems containsBlank="1" count="25">
        <s v="2024-01"/>
        <s v="2024-02"/>
        <s v="2024-03"/>
        <s v="2024-04"/>
        <s v="2024-05"/>
        <s v="2024-06"/>
        <s v="2024-07"/>
        <s v="2024-08"/>
        <s v="2024-09"/>
        <s v="2024-10"/>
        <s v="2024-11"/>
        <s v="2024-12"/>
        <s v="2025-01"/>
        <s v="2025-02"/>
        <s v="2025-03"/>
        <s v="2025-04"/>
        <s v="2025-05"/>
        <s v="2025-06"/>
        <s v="2025-07"/>
        <s v="2025-08"/>
        <s v="2025-09"/>
        <s v="2025-10"/>
        <s v="2025-11"/>
        <s v="2025-12"/>
        <m/>
      </sharedItems>
    </cacheField>
  </cacheFields>
  <extLst>
    <ext xmlns:x14="http://schemas.microsoft.com/office/spreadsheetml/2009/9/main" uri="{725AE2AE-9491-48be-B2B4-4EB974FC3084}">
      <x14:pivotCacheDefinition pivotCacheId="21251027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menwang" refreshedDate="46194.666722337963" createdVersion="8" refreshedVersion="8" minRefreshableVersion="3" recordCount="732" xr:uid="{D3A9FB0A-E52E-4455-A5EA-726BCB12CB40}">
  <cacheSource type="worksheet">
    <worksheetSource ref="A1:J1048576" sheet="agg_orders_daily_revenue"/>
  </cacheSource>
  <cacheFields count="10">
    <cacheField name="Order_Date" numFmtId="0">
      <sharedItems containsNonDate="0" containsDate="1" containsString="0" containsBlank="1" minDate="2024-01-01T00:00:00" maxDate="2026-01-01T00:00:00"/>
    </cacheField>
    <cacheField name="daily_revenue" numFmtId="0">
      <sharedItems containsString="0" containsBlank="1" containsNumber="1" containsInteger="1" minValue="428780" maxValue="608531"/>
    </cacheField>
    <cacheField name="revenue_7d_ma" numFmtId="0">
      <sharedItems containsString="0" containsBlank="1" containsNumber="1" minValue="475380.14" maxValue="538467"/>
    </cacheField>
    <cacheField name="order_count" numFmtId="0">
      <sharedItems containsString="0" containsBlank="1" containsNumber="1" containsInteger="1" minValue="344" maxValue="478"/>
    </cacheField>
    <cacheField name="Year" numFmtId="0">
      <sharedItems containsString="0" containsBlank="1" containsNumber="1" containsInteger="1" minValue="2024" maxValue="2025"/>
    </cacheField>
    <cacheField name="Month" numFmtId="0">
      <sharedItems containsString="0" containsBlank="1" containsNumber="1" containsInteger="1" minValue="1" maxValue="12"/>
    </cacheField>
    <cacheField name="YearMonth" numFmtId="0">
      <sharedItems containsBlank="1" count="25">
        <s v="2024-01"/>
        <s v="2024-02"/>
        <s v="2024-03"/>
        <s v="2024-04"/>
        <s v="2024-05"/>
        <s v="2024-06"/>
        <s v="2024-07"/>
        <s v="2024-08"/>
        <s v="2024-09"/>
        <s v="2024-10"/>
        <s v="2024-11"/>
        <s v="2024-12"/>
        <s v="2025-01"/>
        <s v="2025-02"/>
        <s v="2025-03"/>
        <s v="2025-04"/>
        <s v="2025-05"/>
        <s v="2025-06"/>
        <s v="2025-07"/>
        <s v="2025-08"/>
        <s v="2025-09"/>
        <s v="2025-10"/>
        <s v="2025-11"/>
        <s v="2025-12"/>
        <m/>
      </sharedItems>
    </cacheField>
    <cacheField name="Weekday_Num" numFmtId="0">
      <sharedItems containsString="0" containsBlank="1" containsNumber="1" containsInteger="1" minValue="1" maxValue="7"/>
    </cacheField>
    <cacheField name="IS_Weekend" numFmtId="0">
      <sharedItems containsBlank="1" count="3">
        <s v="Weekday"/>
        <s v="Weekend"/>
        <m/>
      </sharedItems>
    </cacheField>
    <cacheField name="Weekday_Name" numFmtId="0">
      <sharedItems containsBlank="1" count="8">
        <s v="Mon"/>
        <s v="Tue"/>
        <s v="Wed"/>
        <s v="Thu"/>
        <s v="Fri"/>
        <s v="Sat"/>
        <s v="Sun"/>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menwang" refreshedDate="46195.571295254631" createdVersion="8" refreshedVersion="8" minRefreshableVersion="3" recordCount="25" xr:uid="{F0344014-276C-4166-8A95-F83F1DEFB1AD}">
  <cacheSource type="worksheet">
    <worksheetSource ref="A1:J1048576" sheet="agg_orders_monthly_revenue"/>
  </cacheSource>
  <cacheFields count="10">
    <cacheField name="Order_Date" numFmtId="176">
      <sharedItems containsNonDate="0" containsDate="1" containsString="0" containsBlank="1" minDate="2024-01-01T00:00:00" maxDate="2025-12-02T00:00:00"/>
    </cacheField>
    <cacheField name="YearMonth" numFmtId="176">
      <sharedItems containsBlank="1" count="25">
        <s v="2024-01"/>
        <s v="2024-02"/>
        <s v="2024-03"/>
        <s v="2024-04"/>
        <s v="2024-05"/>
        <s v="2024-06"/>
        <s v="2024-07"/>
        <s v="2024-08"/>
        <s v="2024-09"/>
        <s v="2024-10"/>
        <s v="2024-11"/>
        <s v="2024-12"/>
        <s v="2025-01"/>
        <s v="2025-02"/>
        <s v="2025-03"/>
        <s v="2025-04"/>
        <s v="2025-05"/>
        <s v="2025-06"/>
        <s v="2025-07"/>
        <s v="2025-08"/>
        <s v="2025-09"/>
        <s v="2025-10"/>
        <s v="2025-11"/>
        <s v="2025-12"/>
        <m/>
      </sharedItems>
    </cacheField>
    <cacheField name="monthly_revenue" numFmtId="0">
      <sharedItems containsString="0" containsBlank="1" containsNumber="1" containsInteger="1" minValue="14289832" maxValue="16188285"/>
    </cacheField>
    <cacheField name="MoM_growth_pct" numFmtId="0">
      <sharedItems containsString="0" containsBlank="1" containsNumber="1" minValue="-9" maxValue="12.01"/>
    </cacheField>
    <cacheField name="YoY_growth_pct" numFmtId="0">
      <sharedItems containsBlank="1" containsMixedTypes="1" containsNumber="1" minValue="-0.03" maxValue="0.03" count="7">
        <s v=""/>
        <n v="-0.03"/>
        <n v="0.01"/>
        <n v="0"/>
        <n v="-0.01"/>
        <n v="0.03"/>
        <m/>
      </sharedItems>
    </cacheField>
    <cacheField name="order_count" numFmtId="0">
      <sharedItems containsString="0" containsBlank="1" containsNumber="1" containsInteger="1" minValue="11431" maxValue="13020"/>
    </cacheField>
    <cacheField name="Year" numFmtId="0">
      <sharedItems containsString="0" containsBlank="1" containsNumber="1" containsInteger="1" minValue="2024" maxValue="2025"/>
    </cacheField>
    <cacheField name="Month" numFmtId="0">
      <sharedItems containsString="0" containsBlank="1" containsNumber="1" containsInteger="1" minValue="1" maxValue="12"/>
    </cacheField>
    <cacheField name="EDATE" numFmtId="0">
      <sharedItems containsString="0" containsBlank="1" containsNumber="1" containsInteger="1" minValue="44927" maxValue="45627"/>
    </cacheField>
    <cacheField name="LastYearRevenue" numFmtId="0">
      <sharedItems containsString="0" containsBlank="1" containsNumber="1" containsInteger="1" minValue="0" maxValue="1601140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menwang" refreshedDate="46195.791632754626" createdVersion="8" refreshedVersion="8" minRefreshableVersion="3" recordCount="3" xr:uid="{242A14B6-6B2C-4AD5-8176-5378A82927FE}">
  <cacheSource type="worksheet">
    <worksheetSource name="agg_orders_channel_revenue"/>
  </cacheSource>
  <cacheFields count="4">
    <cacheField name="Channel" numFmtId="0">
      <sharedItems count="3">
        <s v="POS"/>
        <s v="Shopify"/>
        <s v="Taobao"/>
      </sharedItems>
    </cacheField>
    <cacheField name="total_revenue" numFmtId="0">
      <sharedItems containsSemiMixedTypes="0" containsString="0" containsNumber="1" containsInteger="1" minValue="102462372" maxValue="150658989"/>
    </cacheField>
    <cacheField name="share_pct" numFmtId="0">
      <sharedItems containsSemiMixedTypes="0" containsString="0" containsNumber="1" minValue="0.27439999999999998" maxValue="0.40350000000000003"/>
    </cacheField>
    <cacheField name="order_count" numFmtId="0">
      <sharedItems containsSemiMixedTypes="0" containsString="0" containsNumber="1" containsInteger="1" minValue="99855" maxValue="9987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menwang" refreshedDate="46195.79528564815" createdVersion="8" refreshedVersion="8" minRefreshableVersion="3" recordCount="6" xr:uid="{10559A05-026E-4601-9D10-A49345F6EAF0}">
  <cacheSource type="worksheet">
    <worksheetSource name="agg_orders_taobao_revenue"/>
  </cacheSource>
  <cacheFields count="3">
    <cacheField name="Product_Category" numFmtId="0">
      <sharedItems count="6">
        <s v="Books"/>
        <s v="Clothing"/>
        <s v="Electronics"/>
        <s v="Food"/>
        <s v="Home"/>
        <s v="Toys"/>
      </sharedItems>
    </cacheField>
    <cacheField name="total_revenue" numFmtId="0">
      <sharedItems containsSemiMixedTypes="0" containsString="0" containsNumber="1" containsInteger="1" minValue="16901708" maxValue="17199616"/>
    </cacheField>
    <cacheField name="order_count" numFmtId="0">
      <sharedItems containsSemiMixedTypes="0" containsString="0" containsNumber="1" containsInteger="1" minValue="16505" maxValue="1672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menwang" refreshedDate="46195.831657754628" createdVersion="8" refreshedVersion="8" minRefreshableVersion="3" recordCount="6" xr:uid="{CD7DB676-C8A0-424D-8AE8-BB11AC03C203}">
  <cacheSource type="worksheet">
    <worksheetSource name="agg_orders_shopify_revenue"/>
  </cacheSource>
  <cacheFields count="3">
    <cacheField name="City" numFmtId="0">
      <sharedItems count="6">
        <s v="Chicago"/>
        <s v="Houston"/>
        <s v="LA"/>
        <s v="Miami"/>
        <s v="New York"/>
        <s v="Seattle"/>
      </sharedItems>
    </cacheField>
    <cacheField name="total_revenue" numFmtId="0">
      <sharedItems containsSemiMixedTypes="0" containsString="0" containsNumber="1" containsInteger="1" minValue="19876871" maxValue="20376658"/>
    </cacheField>
    <cacheField name="order_count" numFmtId="0">
      <sharedItems containsSemiMixedTypes="0" containsString="0" containsNumber="1" containsInteger="1" minValue="16509" maxValue="16834"/>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menwang" refreshedDate="46195.836005439814" createdVersion="8" refreshedVersion="8" minRefreshableVersion="3" recordCount="4" xr:uid="{D1F20089-9A66-48F5-A72C-368B14F90F49}">
  <cacheSource type="worksheet">
    <worksheetSource name="agg_orders_payment_method_share14"/>
  </cacheSource>
  <cacheFields count="4">
    <cacheField name="Payment_Method" numFmtId="0">
      <sharedItems count="4">
        <s v="Alipay"/>
        <s v="Cash"/>
        <s v="Credit Card"/>
        <s v="WeChat Pay"/>
      </sharedItems>
    </cacheField>
    <cacheField name="total_revenue" numFmtId="0">
      <sharedItems containsSemiMixedTypes="0" containsString="0" containsNumber="1" containsInteger="1" minValue="37403664" maxValue="37935856"/>
    </cacheField>
    <cacheField name="pct_within_pos" numFmtId="0">
      <sharedItems containsSemiMixedTypes="0" containsString="0" containsNumber="1" minValue="24.83" maxValue="25.18"/>
    </cacheField>
    <cacheField name="order_count" numFmtId="0">
      <sharedItems containsSemiMixedTypes="0" containsString="0" containsNumber="1" containsInteger="1" minValue="24874" maxValue="2504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d v="2024-01-01T00:00:00"/>
    <n v="527744"/>
    <n v="527744"/>
    <n v="420"/>
    <x v="0"/>
    <n v="1"/>
    <x v="0"/>
  </r>
  <r>
    <d v="2024-01-02T00:00:00"/>
    <n v="549190"/>
    <n v="538467"/>
    <n v="422"/>
    <x v="0"/>
    <n v="1"/>
    <x v="0"/>
  </r>
  <r>
    <d v="2024-01-03T00:00:00"/>
    <n v="453156"/>
    <n v="510030"/>
    <n v="379"/>
    <x v="0"/>
    <n v="1"/>
    <x v="0"/>
  </r>
  <r>
    <d v="2024-01-04T00:00:00"/>
    <n v="528795"/>
    <n v="514721.25"/>
    <n v="417"/>
    <x v="0"/>
    <n v="1"/>
    <x v="0"/>
  </r>
  <r>
    <d v="2024-01-05T00:00:00"/>
    <n v="573980"/>
    <n v="526573"/>
    <n v="454"/>
    <x v="0"/>
    <n v="1"/>
    <x v="0"/>
  </r>
  <r>
    <d v="2024-01-06T00:00:00"/>
    <n v="541934"/>
    <n v="529133.17000000004"/>
    <n v="441"/>
    <x v="0"/>
    <n v="1"/>
    <x v="0"/>
  </r>
  <r>
    <d v="2024-01-07T00:00:00"/>
    <n v="523740"/>
    <n v="528362.71"/>
    <n v="426"/>
    <x v="0"/>
    <n v="1"/>
    <x v="0"/>
  </r>
  <r>
    <d v="2024-01-08T00:00:00"/>
    <n v="543225"/>
    <n v="530574.29"/>
    <n v="440"/>
    <x v="0"/>
    <n v="1"/>
    <x v="0"/>
  </r>
  <r>
    <d v="2024-01-09T00:00:00"/>
    <n v="447793"/>
    <n v="516089"/>
    <n v="372"/>
    <x v="0"/>
    <n v="1"/>
    <x v="0"/>
  </r>
  <r>
    <d v="2024-01-10T00:00:00"/>
    <n v="525290"/>
    <n v="526393.86"/>
    <n v="407"/>
    <x v="0"/>
    <n v="1"/>
    <x v="0"/>
  </r>
  <r>
    <d v="2024-01-11T00:00:00"/>
    <n v="486771"/>
    <n v="520390.43"/>
    <n v="391"/>
    <x v="0"/>
    <n v="1"/>
    <x v="0"/>
  </r>
  <r>
    <d v="2024-01-12T00:00:00"/>
    <n v="505729"/>
    <n v="510640.29"/>
    <n v="417"/>
    <x v="0"/>
    <n v="1"/>
    <x v="0"/>
  </r>
  <r>
    <d v="2024-01-13T00:00:00"/>
    <n v="530224"/>
    <n v="508967.43"/>
    <n v="426"/>
    <x v="0"/>
    <n v="1"/>
    <x v="0"/>
  </r>
  <r>
    <d v="2024-01-14T00:00:00"/>
    <n v="502492"/>
    <n v="505932"/>
    <n v="397"/>
    <x v="0"/>
    <n v="1"/>
    <x v="0"/>
  </r>
  <r>
    <d v="2024-01-15T00:00:00"/>
    <n v="471804"/>
    <n v="495729"/>
    <n v="386"/>
    <x v="0"/>
    <n v="1"/>
    <x v="0"/>
  </r>
  <r>
    <d v="2024-01-16T00:00:00"/>
    <n v="479467"/>
    <n v="500253.86"/>
    <n v="374"/>
    <x v="0"/>
    <n v="1"/>
    <x v="0"/>
  </r>
  <r>
    <d v="2024-01-17T00:00:00"/>
    <n v="519307"/>
    <n v="499399.14"/>
    <n v="405"/>
    <x v="0"/>
    <n v="1"/>
    <x v="0"/>
  </r>
  <r>
    <d v="2024-01-18T00:00:00"/>
    <n v="530188"/>
    <n v="505601.57"/>
    <n v="434"/>
    <x v="0"/>
    <n v="1"/>
    <x v="0"/>
  </r>
  <r>
    <d v="2024-01-19T00:00:00"/>
    <n v="543010"/>
    <n v="510927.43"/>
    <n v="412"/>
    <x v="0"/>
    <n v="1"/>
    <x v="0"/>
  </r>
  <r>
    <d v="2024-01-20T00:00:00"/>
    <n v="543009"/>
    <n v="512753.86"/>
    <n v="422"/>
    <x v="0"/>
    <n v="1"/>
    <x v="0"/>
  </r>
  <r>
    <d v="2024-01-21T00:00:00"/>
    <n v="499322"/>
    <n v="512301"/>
    <n v="411"/>
    <x v="0"/>
    <n v="1"/>
    <x v="0"/>
  </r>
  <r>
    <d v="2024-01-22T00:00:00"/>
    <n v="531620"/>
    <n v="520846.14"/>
    <n v="423"/>
    <x v="0"/>
    <n v="1"/>
    <x v="0"/>
  </r>
  <r>
    <d v="2024-01-23T00:00:00"/>
    <n v="466429"/>
    <n v="518983.57"/>
    <n v="370"/>
    <x v="0"/>
    <n v="1"/>
    <x v="0"/>
  </r>
  <r>
    <d v="2024-01-24T00:00:00"/>
    <n v="494994"/>
    <n v="515510.29"/>
    <n v="404"/>
    <x v="0"/>
    <n v="1"/>
    <x v="0"/>
  </r>
  <r>
    <d v="2024-01-25T00:00:00"/>
    <n v="464755"/>
    <n v="506162.71"/>
    <n v="364"/>
    <x v="0"/>
    <n v="1"/>
    <x v="0"/>
  </r>
  <r>
    <d v="2024-01-26T00:00:00"/>
    <n v="520620"/>
    <n v="502964.14"/>
    <n v="430"/>
    <x v="0"/>
    <n v="1"/>
    <x v="0"/>
  </r>
  <r>
    <d v="2024-01-27T00:00:00"/>
    <n v="481563"/>
    <n v="494186.14"/>
    <n v="390"/>
    <x v="0"/>
    <n v="1"/>
    <x v="0"/>
  </r>
  <r>
    <d v="2024-01-28T00:00:00"/>
    <n v="479707"/>
    <n v="491384"/>
    <n v="390"/>
    <x v="0"/>
    <n v="1"/>
    <x v="0"/>
  </r>
  <r>
    <d v="2024-01-29T00:00:00"/>
    <n v="517620"/>
    <n v="489384"/>
    <n v="423"/>
    <x v="0"/>
    <n v="1"/>
    <x v="0"/>
  </r>
  <r>
    <d v="2024-01-30T00:00:00"/>
    <n v="516855"/>
    <n v="496587.71"/>
    <n v="402"/>
    <x v="0"/>
    <n v="1"/>
    <x v="0"/>
  </r>
  <r>
    <d v="2024-01-31T00:00:00"/>
    <n v="467220"/>
    <n v="492620"/>
    <n v="385"/>
    <x v="0"/>
    <n v="1"/>
    <x v="0"/>
  </r>
  <r>
    <d v="2024-02-01T00:00:00"/>
    <n v="521493"/>
    <n v="500725.43"/>
    <n v="391"/>
    <x v="0"/>
    <n v="2"/>
    <x v="1"/>
  </r>
  <r>
    <d v="2024-02-02T00:00:00"/>
    <n v="499920"/>
    <n v="497768.29"/>
    <n v="406"/>
    <x v="0"/>
    <n v="2"/>
    <x v="1"/>
  </r>
  <r>
    <d v="2024-02-03T00:00:00"/>
    <n v="480591"/>
    <n v="497629.43"/>
    <n v="375"/>
    <x v="0"/>
    <n v="2"/>
    <x v="1"/>
  </r>
  <r>
    <d v="2024-02-04T00:00:00"/>
    <n v="528003"/>
    <n v="504528.86"/>
    <n v="411"/>
    <x v="0"/>
    <n v="2"/>
    <x v="1"/>
  </r>
  <r>
    <d v="2024-02-05T00:00:00"/>
    <n v="523667"/>
    <n v="505392.71"/>
    <n v="427"/>
    <x v="0"/>
    <n v="2"/>
    <x v="1"/>
  </r>
  <r>
    <d v="2024-02-06T00:00:00"/>
    <n v="520129"/>
    <n v="505860.43"/>
    <n v="422"/>
    <x v="0"/>
    <n v="2"/>
    <x v="1"/>
  </r>
  <r>
    <d v="2024-02-07T00:00:00"/>
    <n v="513464"/>
    <n v="512466.71"/>
    <n v="417"/>
    <x v="0"/>
    <n v="2"/>
    <x v="1"/>
  </r>
  <r>
    <d v="2024-02-08T00:00:00"/>
    <n v="481854"/>
    <n v="506804"/>
    <n v="386"/>
    <x v="0"/>
    <n v="2"/>
    <x v="1"/>
  </r>
  <r>
    <d v="2024-02-09T00:00:00"/>
    <n v="492720"/>
    <n v="505775.43"/>
    <n v="392"/>
    <x v="0"/>
    <n v="2"/>
    <x v="1"/>
  </r>
  <r>
    <d v="2024-02-10T00:00:00"/>
    <n v="530166"/>
    <n v="512857.57"/>
    <n v="405"/>
    <x v="0"/>
    <n v="2"/>
    <x v="1"/>
  </r>
  <r>
    <d v="2024-02-11T00:00:00"/>
    <n v="498177"/>
    <n v="508596.71"/>
    <n v="411"/>
    <x v="0"/>
    <n v="2"/>
    <x v="1"/>
  </r>
  <r>
    <d v="2024-02-12T00:00:00"/>
    <n v="510902"/>
    <n v="506773.14"/>
    <n v="402"/>
    <x v="0"/>
    <n v="2"/>
    <x v="1"/>
  </r>
  <r>
    <d v="2024-02-13T00:00:00"/>
    <n v="521509"/>
    <n v="506970.29"/>
    <n v="404"/>
    <x v="0"/>
    <n v="2"/>
    <x v="1"/>
  </r>
  <r>
    <d v="2024-02-14T00:00:00"/>
    <n v="497664"/>
    <n v="504713.14"/>
    <n v="404"/>
    <x v="0"/>
    <n v="2"/>
    <x v="1"/>
  </r>
  <r>
    <d v="2024-02-15T00:00:00"/>
    <n v="462085"/>
    <n v="501889"/>
    <n v="389"/>
    <x v="0"/>
    <n v="2"/>
    <x v="1"/>
  </r>
  <r>
    <d v="2024-02-16T00:00:00"/>
    <n v="475826"/>
    <n v="499475.57"/>
    <n v="398"/>
    <x v="0"/>
    <n v="2"/>
    <x v="1"/>
  </r>
  <r>
    <d v="2024-02-17T00:00:00"/>
    <n v="526083"/>
    <n v="498892.29"/>
    <n v="414"/>
    <x v="0"/>
    <n v="2"/>
    <x v="1"/>
  </r>
  <r>
    <d v="2024-02-18T00:00:00"/>
    <n v="524782"/>
    <n v="502693"/>
    <n v="422"/>
    <x v="0"/>
    <n v="2"/>
    <x v="1"/>
  </r>
  <r>
    <d v="2024-02-19T00:00:00"/>
    <n v="553204"/>
    <n v="508736.14"/>
    <n v="441"/>
    <x v="0"/>
    <n v="2"/>
    <x v="1"/>
  </r>
  <r>
    <d v="2024-02-20T00:00:00"/>
    <n v="502850"/>
    <n v="506070.57"/>
    <n v="400"/>
    <x v="0"/>
    <n v="2"/>
    <x v="1"/>
  </r>
  <r>
    <d v="2024-02-21T00:00:00"/>
    <n v="499729"/>
    <n v="506365.57"/>
    <n v="413"/>
    <x v="0"/>
    <n v="2"/>
    <x v="1"/>
  </r>
  <r>
    <d v="2024-02-22T00:00:00"/>
    <n v="534870"/>
    <n v="516763.43"/>
    <n v="419"/>
    <x v="0"/>
    <n v="2"/>
    <x v="1"/>
  </r>
  <r>
    <d v="2024-02-23T00:00:00"/>
    <n v="475392"/>
    <n v="516701.43"/>
    <n v="384"/>
    <x v="0"/>
    <n v="2"/>
    <x v="1"/>
  </r>
  <r>
    <d v="2024-02-24T00:00:00"/>
    <n v="463365"/>
    <n v="507741.71"/>
    <n v="383"/>
    <x v="0"/>
    <n v="2"/>
    <x v="1"/>
  </r>
  <r>
    <d v="2024-02-25T00:00:00"/>
    <n v="511659"/>
    <n v="505867"/>
    <n v="421"/>
    <x v="0"/>
    <n v="2"/>
    <x v="1"/>
  </r>
  <r>
    <d v="2024-02-26T00:00:00"/>
    <n v="479534"/>
    <n v="495342.71"/>
    <n v="401"/>
    <x v="0"/>
    <n v="2"/>
    <x v="1"/>
  </r>
  <r>
    <d v="2024-02-27T00:00:00"/>
    <n v="519220"/>
    <n v="497681.29"/>
    <n v="404"/>
    <x v="0"/>
    <n v="2"/>
    <x v="1"/>
  </r>
  <r>
    <d v="2024-02-28T00:00:00"/>
    <n v="546753"/>
    <n v="504399"/>
    <n v="440"/>
    <x v="0"/>
    <n v="2"/>
    <x v="1"/>
  </r>
  <r>
    <d v="2024-02-29T00:00:00"/>
    <n v="541282"/>
    <n v="505315"/>
    <n v="431"/>
    <x v="0"/>
    <n v="2"/>
    <x v="1"/>
  </r>
  <r>
    <d v="2024-03-01T00:00:00"/>
    <n v="490931"/>
    <n v="507534.86"/>
    <n v="396"/>
    <x v="0"/>
    <n v="3"/>
    <x v="2"/>
  </r>
  <r>
    <d v="2024-03-02T00:00:00"/>
    <n v="501415"/>
    <n v="512970.57"/>
    <n v="413"/>
    <x v="0"/>
    <n v="3"/>
    <x v="2"/>
  </r>
  <r>
    <d v="2024-03-03T00:00:00"/>
    <n v="453685"/>
    <n v="504688.57"/>
    <n v="369"/>
    <x v="0"/>
    <n v="3"/>
    <x v="2"/>
  </r>
  <r>
    <d v="2024-03-04T00:00:00"/>
    <n v="499094"/>
    <n v="507482.86"/>
    <n v="403"/>
    <x v="0"/>
    <n v="3"/>
    <x v="2"/>
  </r>
  <r>
    <d v="2024-03-05T00:00:00"/>
    <n v="498391"/>
    <n v="504507.29"/>
    <n v="405"/>
    <x v="0"/>
    <n v="3"/>
    <x v="2"/>
  </r>
  <r>
    <d v="2024-03-06T00:00:00"/>
    <n v="466830"/>
    <n v="493089.71"/>
    <n v="375"/>
    <x v="0"/>
    <n v="3"/>
    <x v="2"/>
  </r>
  <r>
    <d v="2024-03-07T00:00:00"/>
    <n v="504425"/>
    <n v="487824.43"/>
    <n v="418"/>
    <x v="0"/>
    <n v="3"/>
    <x v="2"/>
  </r>
  <r>
    <d v="2024-03-08T00:00:00"/>
    <n v="525959"/>
    <n v="492828.43"/>
    <n v="435"/>
    <x v="0"/>
    <n v="3"/>
    <x v="2"/>
  </r>
  <r>
    <d v="2024-03-09T00:00:00"/>
    <n v="491640"/>
    <n v="491432"/>
    <n v="393"/>
    <x v="0"/>
    <n v="3"/>
    <x v="2"/>
  </r>
  <r>
    <d v="2024-03-10T00:00:00"/>
    <n v="548413"/>
    <n v="504964.57"/>
    <n v="442"/>
    <x v="0"/>
    <n v="3"/>
    <x v="2"/>
  </r>
  <r>
    <d v="2024-03-11T00:00:00"/>
    <n v="470432"/>
    <n v="500870"/>
    <n v="380"/>
    <x v="0"/>
    <n v="3"/>
    <x v="2"/>
  </r>
  <r>
    <d v="2024-03-12T00:00:00"/>
    <n v="564796"/>
    <n v="510356.43"/>
    <n v="447"/>
    <x v="0"/>
    <n v="3"/>
    <x v="2"/>
  </r>
  <r>
    <d v="2024-03-13T00:00:00"/>
    <n v="509588"/>
    <n v="516464.71"/>
    <n v="399"/>
    <x v="0"/>
    <n v="3"/>
    <x v="2"/>
  </r>
  <r>
    <d v="2024-03-14T00:00:00"/>
    <n v="542049"/>
    <n v="521839.57"/>
    <n v="423"/>
    <x v="0"/>
    <n v="3"/>
    <x v="2"/>
  </r>
  <r>
    <d v="2024-03-15T00:00:00"/>
    <n v="470250"/>
    <n v="513881.14"/>
    <n v="403"/>
    <x v="0"/>
    <n v="3"/>
    <x v="2"/>
  </r>
  <r>
    <d v="2024-03-16T00:00:00"/>
    <n v="540809"/>
    <n v="520905.29"/>
    <n v="425"/>
    <x v="0"/>
    <n v="3"/>
    <x v="2"/>
  </r>
  <r>
    <d v="2024-03-17T00:00:00"/>
    <n v="469407"/>
    <n v="509618.71"/>
    <n v="377"/>
    <x v="0"/>
    <n v="3"/>
    <x v="2"/>
  </r>
  <r>
    <d v="2024-03-18T00:00:00"/>
    <n v="509384"/>
    <n v="515183.29"/>
    <n v="408"/>
    <x v="0"/>
    <n v="3"/>
    <x v="2"/>
  </r>
  <r>
    <d v="2024-03-19T00:00:00"/>
    <n v="506553"/>
    <n v="506862.86"/>
    <n v="405"/>
    <x v="0"/>
    <n v="3"/>
    <x v="2"/>
  </r>
  <r>
    <d v="2024-03-20T00:00:00"/>
    <n v="459561"/>
    <n v="499716.14"/>
    <n v="388"/>
    <x v="0"/>
    <n v="3"/>
    <x v="2"/>
  </r>
  <r>
    <d v="2024-03-21T00:00:00"/>
    <n v="507146"/>
    <n v="494730"/>
    <n v="414"/>
    <x v="0"/>
    <n v="3"/>
    <x v="2"/>
  </r>
  <r>
    <d v="2024-03-22T00:00:00"/>
    <n v="579227"/>
    <n v="510298.14"/>
    <n v="446"/>
    <x v="0"/>
    <n v="3"/>
    <x v="2"/>
  </r>
  <r>
    <d v="2024-03-23T00:00:00"/>
    <n v="550761"/>
    <n v="511719.86"/>
    <n v="426"/>
    <x v="0"/>
    <n v="3"/>
    <x v="2"/>
  </r>
  <r>
    <d v="2024-03-24T00:00:00"/>
    <n v="547733"/>
    <n v="522909.29"/>
    <n v="426"/>
    <x v="0"/>
    <n v="3"/>
    <x v="2"/>
  </r>
  <r>
    <d v="2024-03-25T00:00:00"/>
    <n v="486041"/>
    <n v="519574.57"/>
    <n v="382"/>
    <x v="0"/>
    <n v="3"/>
    <x v="2"/>
  </r>
  <r>
    <d v="2024-03-26T00:00:00"/>
    <n v="523922"/>
    <n v="522055.86"/>
    <n v="430"/>
    <x v="0"/>
    <n v="3"/>
    <x v="2"/>
  </r>
  <r>
    <d v="2024-03-27T00:00:00"/>
    <n v="551505"/>
    <n v="535190.71"/>
    <n v="434"/>
    <x v="0"/>
    <n v="3"/>
    <x v="2"/>
  </r>
  <r>
    <d v="2024-03-28T00:00:00"/>
    <n v="481497"/>
    <n v="531526.56999999995"/>
    <n v="389"/>
    <x v="0"/>
    <n v="3"/>
    <x v="2"/>
  </r>
  <r>
    <d v="2024-03-29T00:00:00"/>
    <n v="480045"/>
    <n v="517357.71"/>
    <n v="397"/>
    <x v="0"/>
    <n v="3"/>
    <x v="2"/>
  </r>
  <r>
    <d v="2024-03-30T00:00:00"/>
    <n v="608531"/>
    <n v="525610.56999999995"/>
    <n v="478"/>
    <x v="0"/>
    <n v="3"/>
    <x v="2"/>
  </r>
  <r>
    <d v="2024-03-31T00:00:00"/>
    <n v="485108"/>
    <n v="516664.14"/>
    <n v="382"/>
    <x v="0"/>
    <n v="3"/>
    <x v="2"/>
  </r>
  <r>
    <d v="2024-04-01T00:00:00"/>
    <n v="497536"/>
    <n v="518306.29"/>
    <n v="401"/>
    <x v="0"/>
    <n v="4"/>
    <x v="3"/>
  </r>
  <r>
    <d v="2024-04-02T00:00:00"/>
    <n v="491170"/>
    <n v="513627.43"/>
    <n v="400"/>
    <x v="0"/>
    <n v="4"/>
    <x v="3"/>
  </r>
  <r>
    <d v="2024-04-03T00:00:00"/>
    <n v="528897"/>
    <n v="510397.71"/>
    <n v="413"/>
    <x v="0"/>
    <n v="4"/>
    <x v="3"/>
  </r>
  <r>
    <d v="2024-04-04T00:00:00"/>
    <n v="472512"/>
    <n v="509114.14"/>
    <n v="390"/>
    <x v="0"/>
    <n v="4"/>
    <x v="3"/>
  </r>
  <r>
    <d v="2024-04-05T00:00:00"/>
    <n v="508963"/>
    <n v="513245.29"/>
    <n v="415"/>
    <x v="0"/>
    <n v="4"/>
    <x v="3"/>
  </r>
  <r>
    <d v="2024-04-06T00:00:00"/>
    <n v="502788"/>
    <n v="498139.14"/>
    <n v="395"/>
    <x v="0"/>
    <n v="4"/>
    <x v="3"/>
  </r>
  <r>
    <d v="2024-04-07T00:00:00"/>
    <n v="524517"/>
    <n v="503769"/>
    <n v="438"/>
    <x v="0"/>
    <n v="4"/>
    <x v="3"/>
  </r>
  <r>
    <d v="2024-04-08T00:00:00"/>
    <n v="508077"/>
    <n v="505274.86"/>
    <n v="396"/>
    <x v="0"/>
    <n v="4"/>
    <x v="3"/>
  </r>
  <r>
    <d v="2024-04-09T00:00:00"/>
    <n v="512829"/>
    <n v="508369"/>
    <n v="405"/>
    <x v="0"/>
    <n v="4"/>
    <x v="3"/>
  </r>
  <r>
    <d v="2024-04-10T00:00:00"/>
    <n v="488157"/>
    <n v="502549"/>
    <n v="385"/>
    <x v="0"/>
    <n v="4"/>
    <x v="3"/>
  </r>
  <r>
    <d v="2024-04-11T00:00:00"/>
    <n v="502808"/>
    <n v="506877"/>
    <n v="381"/>
    <x v="0"/>
    <n v="4"/>
    <x v="3"/>
  </r>
  <r>
    <d v="2024-04-12T00:00:00"/>
    <n v="549560"/>
    <n v="512676.57"/>
    <n v="436"/>
    <x v="0"/>
    <n v="4"/>
    <x v="3"/>
  </r>
  <r>
    <d v="2024-04-13T00:00:00"/>
    <n v="487127"/>
    <n v="510439.29"/>
    <n v="373"/>
    <x v="0"/>
    <n v="4"/>
    <x v="3"/>
  </r>
  <r>
    <d v="2024-04-14T00:00:00"/>
    <n v="553248"/>
    <n v="514543.71"/>
    <n v="439"/>
    <x v="0"/>
    <n v="4"/>
    <x v="3"/>
  </r>
  <r>
    <d v="2024-04-15T00:00:00"/>
    <n v="527535"/>
    <n v="517323.43"/>
    <n v="411"/>
    <x v="0"/>
    <n v="4"/>
    <x v="3"/>
  </r>
  <r>
    <d v="2024-04-16T00:00:00"/>
    <n v="537035"/>
    <n v="520781.43"/>
    <n v="403"/>
    <x v="0"/>
    <n v="4"/>
    <x v="3"/>
  </r>
  <r>
    <d v="2024-04-17T00:00:00"/>
    <n v="495624"/>
    <n v="521848.14"/>
    <n v="416"/>
    <x v="0"/>
    <n v="4"/>
    <x v="3"/>
  </r>
  <r>
    <d v="2024-04-18T00:00:00"/>
    <n v="503690"/>
    <n v="521974.14"/>
    <n v="403"/>
    <x v="0"/>
    <n v="4"/>
    <x v="3"/>
  </r>
  <r>
    <d v="2024-04-19T00:00:00"/>
    <n v="500241"/>
    <n v="514928.57"/>
    <n v="400"/>
    <x v="0"/>
    <n v="4"/>
    <x v="3"/>
  </r>
  <r>
    <d v="2024-04-20T00:00:00"/>
    <n v="524462"/>
    <n v="520262.14"/>
    <n v="430"/>
    <x v="0"/>
    <n v="4"/>
    <x v="3"/>
  </r>
  <r>
    <d v="2024-04-21T00:00:00"/>
    <n v="514868"/>
    <n v="514779.29"/>
    <n v="413"/>
    <x v="0"/>
    <n v="4"/>
    <x v="3"/>
  </r>
  <r>
    <d v="2024-04-22T00:00:00"/>
    <n v="511880"/>
    <n v="512542.86"/>
    <n v="412"/>
    <x v="0"/>
    <n v="4"/>
    <x v="3"/>
  </r>
  <r>
    <d v="2024-04-23T00:00:00"/>
    <n v="544858"/>
    <n v="513660.43"/>
    <n v="425"/>
    <x v="0"/>
    <n v="4"/>
    <x v="3"/>
  </r>
  <r>
    <d v="2024-04-24T00:00:00"/>
    <n v="495896"/>
    <n v="513699.29"/>
    <n v="397"/>
    <x v="0"/>
    <n v="4"/>
    <x v="3"/>
  </r>
  <r>
    <d v="2024-04-25T00:00:00"/>
    <n v="518207"/>
    <n v="515773.14"/>
    <n v="407"/>
    <x v="0"/>
    <n v="4"/>
    <x v="3"/>
  </r>
  <r>
    <d v="2024-04-26T00:00:00"/>
    <n v="512082"/>
    <n v="517464.71"/>
    <n v="397"/>
    <x v="0"/>
    <n v="4"/>
    <x v="3"/>
  </r>
  <r>
    <d v="2024-04-27T00:00:00"/>
    <n v="500545"/>
    <n v="514048"/>
    <n v="411"/>
    <x v="0"/>
    <n v="4"/>
    <x v="3"/>
  </r>
  <r>
    <d v="2024-04-28T00:00:00"/>
    <n v="439440"/>
    <n v="503272.57"/>
    <n v="364"/>
    <x v="0"/>
    <n v="4"/>
    <x v="3"/>
  </r>
  <r>
    <d v="2024-04-29T00:00:00"/>
    <n v="527678"/>
    <n v="505529.43"/>
    <n v="412"/>
    <x v="0"/>
    <n v="4"/>
    <x v="3"/>
  </r>
  <r>
    <d v="2024-04-30T00:00:00"/>
    <n v="480206"/>
    <n v="496293.43"/>
    <n v="384"/>
    <x v="0"/>
    <n v="4"/>
    <x v="3"/>
  </r>
  <r>
    <d v="2024-05-01T00:00:00"/>
    <n v="482155"/>
    <n v="494330.43"/>
    <n v="392"/>
    <x v="0"/>
    <n v="5"/>
    <x v="4"/>
  </r>
  <r>
    <d v="2024-05-02T00:00:00"/>
    <n v="572240"/>
    <n v="502049.43"/>
    <n v="458"/>
    <x v="0"/>
    <n v="5"/>
    <x v="4"/>
  </r>
  <r>
    <d v="2024-05-03T00:00:00"/>
    <n v="481242"/>
    <n v="497643.71"/>
    <n v="398"/>
    <x v="0"/>
    <n v="5"/>
    <x v="4"/>
  </r>
  <r>
    <d v="2024-05-04T00:00:00"/>
    <n v="526886"/>
    <n v="501406.71"/>
    <n v="414"/>
    <x v="0"/>
    <n v="5"/>
    <x v="4"/>
  </r>
  <r>
    <d v="2024-05-05T00:00:00"/>
    <n v="497815"/>
    <n v="509746"/>
    <n v="402"/>
    <x v="0"/>
    <n v="5"/>
    <x v="4"/>
  </r>
  <r>
    <d v="2024-05-06T00:00:00"/>
    <n v="496483"/>
    <n v="505289.57"/>
    <n v="390"/>
    <x v="0"/>
    <n v="5"/>
    <x v="4"/>
  </r>
  <r>
    <d v="2024-05-07T00:00:00"/>
    <n v="502071"/>
    <n v="508413.14"/>
    <n v="412"/>
    <x v="0"/>
    <n v="5"/>
    <x v="4"/>
  </r>
  <r>
    <d v="2024-05-08T00:00:00"/>
    <n v="442951"/>
    <n v="502812.57"/>
    <n v="371"/>
    <x v="0"/>
    <n v="5"/>
    <x v="4"/>
  </r>
  <r>
    <d v="2024-05-09T00:00:00"/>
    <n v="515542"/>
    <n v="494712.86"/>
    <n v="409"/>
    <x v="0"/>
    <n v="5"/>
    <x v="4"/>
  </r>
  <r>
    <d v="2024-05-10T00:00:00"/>
    <n v="530366"/>
    <n v="501730.57"/>
    <n v="435"/>
    <x v="0"/>
    <n v="5"/>
    <x v="4"/>
  </r>
  <r>
    <d v="2024-05-11T00:00:00"/>
    <n v="503772"/>
    <n v="498428.57"/>
    <n v="412"/>
    <x v="0"/>
    <n v="5"/>
    <x v="4"/>
  </r>
  <r>
    <d v="2024-05-12T00:00:00"/>
    <n v="492072"/>
    <n v="497608.14"/>
    <n v="382"/>
    <x v="0"/>
    <n v="5"/>
    <x v="4"/>
  </r>
  <r>
    <d v="2024-05-13T00:00:00"/>
    <n v="566880"/>
    <n v="507664.86"/>
    <n v="446"/>
    <x v="0"/>
    <n v="5"/>
    <x v="4"/>
  </r>
  <r>
    <d v="2024-05-14T00:00:00"/>
    <n v="536061"/>
    <n v="512520.57"/>
    <n v="432"/>
    <x v="0"/>
    <n v="5"/>
    <x v="4"/>
  </r>
  <r>
    <d v="2024-05-15T00:00:00"/>
    <n v="547033"/>
    <n v="527389.43000000005"/>
    <n v="417"/>
    <x v="0"/>
    <n v="5"/>
    <x v="4"/>
  </r>
  <r>
    <d v="2024-05-16T00:00:00"/>
    <n v="547468"/>
    <n v="531950.29"/>
    <n v="439"/>
    <x v="0"/>
    <n v="5"/>
    <x v="4"/>
  </r>
  <r>
    <d v="2024-05-17T00:00:00"/>
    <n v="517536"/>
    <n v="530117.43000000005"/>
    <n v="435"/>
    <x v="0"/>
    <n v="5"/>
    <x v="4"/>
  </r>
  <r>
    <d v="2024-05-18T00:00:00"/>
    <n v="491655"/>
    <n v="528386.43000000005"/>
    <n v="391"/>
    <x v="0"/>
    <n v="5"/>
    <x v="4"/>
  </r>
  <r>
    <d v="2024-05-19T00:00:00"/>
    <n v="474581"/>
    <n v="525887.71"/>
    <n v="398"/>
    <x v="0"/>
    <n v="5"/>
    <x v="4"/>
  </r>
  <r>
    <d v="2024-05-20T00:00:00"/>
    <n v="522608"/>
    <n v="519563.14"/>
    <n v="428"/>
    <x v="0"/>
    <n v="5"/>
    <x v="4"/>
  </r>
  <r>
    <d v="2024-05-21T00:00:00"/>
    <n v="517148"/>
    <n v="516861.29"/>
    <n v="423"/>
    <x v="0"/>
    <n v="5"/>
    <x v="4"/>
  </r>
  <r>
    <d v="2024-05-22T00:00:00"/>
    <n v="471227"/>
    <n v="506031.86"/>
    <n v="381"/>
    <x v="0"/>
    <n v="5"/>
    <x v="4"/>
  </r>
  <r>
    <d v="2024-05-23T00:00:00"/>
    <n v="505558"/>
    <n v="500044.71"/>
    <n v="418"/>
    <x v="0"/>
    <n v="5"/>
    <x v="4"/>
  </r>
  <r>
    <d v="2024-05-24T00:00:00"/>
    <n v="468901"/>
    <n v="493096.86"/>
    <n v="391"/>
    <x v="0"/>
    <n v="5"/>
    <x v="4"/>
  </r>
  <r>
    <d v="2024-05-25T00:00:00"/>
    <n v="440138"/>
    <n v="485737.29"/>
    <n v="377"/>
    <x v="0"/>
    <n v="5"/>
    <x v="4"/>
  </r>
  <r>
    <d v="2024-05-26T00:00:00"/>
    <n v="499145"/>
    <n v="489246.43"/>
    <n v="399"/>
    <x v="0"/>
    <n v="5"/>
    <x v="4"/>
  </r>
  <r>
    <d v="2024-05-27T00:00:00"/>
    <n v="487657"/>
    <n v="484253.43"/>
    <n v="378"/>
    <x v="0"/>
    <n v="5"/>
    <x v="4"/>
  </r>
  <r>
    <d v="2024-05-28T00:00:00"/>
    <n v="521366"/>
    <n v="484856"/>
    <n v="423"/>
    <x v="0"/>
    <n v="5"/>
    <x v="4"/>
  </r>
  <r>
    <d v="2024-05-29T00:00:00"/>
    <n v="498206"/>
    <n v="488710.14"/>
    <n v="406"/>
    <x v="0"/>
    <n v="5"/>
    <x v="4"/>
  </r>
  <r>
    <d v="2024-05-30T00:00:00"/>
    <n v="558927"/>
    <n v="496334.29"/>
    <n v="446"/>
    <x v="0"/>
    <n v="5"/>
    <x v="4"/>
  </r>
  <r>
    <d v="2024-05-31T00:00:00"/>
    <n v="510497"/>
    <n v="502276.57"/>
    <n v="402"/>
    <x v="0"/>
    <n v="5"/>
    <x v="4"/>
  </r>
  <r>
    <d v="2024-06-01T00:00:00"/>
    <n v="499050"/>
    <n v="510692.57"/>
    <n v="409"/>
    <x v="0"/>
    <n v="6"/>
    <x v="5"/>
  </r>
  <r>
    <d v="2024-06-02T00:00:00"/>
    <n v="498688"/>
    <n v="510627.29"/>
    <n v="409"/>
    <x v="0"/>
    <n v="6"/>
    <x v="5"/>
  </r>
  <r>
    <d v="2024-06-03T00:00:00"/>
    <n v="476779"/>
    <n v="509073.29"/>
    <n v="375"/>
    <x v="0"/>
    <n v="6"/>
    <x v="5"/>
  </r>
  <r>
    <d v="2024-06-04T00:00:00"/>
    <n v="530771"/>
    <n v="510416.86"/>
    <n v="425"/>
    <x v="0"/>
    <n v="6"/>
    <x v="5"/>
  </r>
  <r>
    <d v="2024-06-05T00:00:00"/>
    <n v="472949"/>
    <n v="506808.71"/>
    <n v="376"/>
    <x v="0"/>
    <n v="6"/>
    <x v="5"/>
  </r>
  <r>
    <d v="2024-06-06T00:00:00"/>
    <n v="524844"/>
    <n v="501939.71"/>
    <n v="403"/>
    <x v="0"/>
    <n v="6"/>
    <x v="5"/>
  </r>
  <r>
    <d v="2024-06-07T00:00:00"/>
    <n v="428780"/>
    <n v="490265.86"/>
    <n v="370"/>
    <x v="0"/>
    <n v="6"/>
    <x v="5"/>
  </r>
  <r>
    <d v="2024-06-08T00:00:00"/>
    <n v="538741"/>
    <n v="495936"/>
    <n v="413"/>
    <x v="0"/>
    <n v="6"/>
    <x v="5"/>
  </r>
  <r>
    <d v="2024-06-09T00:00:00"/>
    <n v="512543"/>
    <n v="497915.29"/>
    <n v="412"/>
    <x v="0"/>
    <n v="6"/>
    <x v="5"/>
  </r>
  <r>
    <d v="2024-06-10T00:00:00"/>
    <n v="512300"/>
    <n v="502989.71"/>
    <n v="402"/>
    <x v="0"/>
    <n v="6"/>
    <x v="5"/>
  </r>
  <r>
    <d v="2024-06-11T00:00:00"/>
    <n v="513849"/>
    <n v="500572.29"/>
    <n v="410"/>
    <x v="0"/>
    <n v="6"/>
    <x v="5"/>
  </r>
  <r>
    <d v="2024-06-12T00:00:00"/>
    <n v="560079"/>
    <n v="513019.43"/>
    <n v="435"/>
    <x v="0"/>
    <n v="6"/>
    <x v="5"/>
  </r>
  <r>
    <d v="2024-06-13T00:00:00"/>
    <n v="501022"/>
    <n v="509616.29"/>
    <n v="422"/>
    <x v="0"/>
    <n v="6"/>
    <x v="5"/>
  </r>
  <r>
    <d v="2024-06-14T00:00:00"/>
    <n v="536878"/>
    <n v="525058.86"/>
    <n v="436"/>
    <x v="0"/>
    <n v="6"/>
    <x v="5"/>
  </r>
  <r>
    <d v="2024-06-15T00:00:00"/>
    <n v="468453"/>
    <n v="515017.71"/>
    <n v="378"/>
    <x v="0"/>
    <n v="6"/>
    <x v="5"/>
  </r>
  <r>
    <d v="2024-06-16T00:00:00"/>
    <n v="552695"/>
    <n v="520753.71"/>
    <n v="429"/>
    <x v="0"/>
    <n v="6"/>
    <x v="5"/>
  </r>
  <r>
    <d v="2024-06-17T00:00:00"/>
    <n v="507299"/>
    <n v="520039.29"/>
    <n v="400"/>
    <x v="0"/>
    <n v="6"/>
    <x v="5"/>
  </r>
  <r>
    <d v="2024-06-18T00:00:00"/>
    <n v="541137"/>
    <n v="523937.57"/>
    <n v="406"/>
    <x v="0"/>
    <n v="6"/>
    <x v="5"/>
  </r>
  <r>
    <d v="2024-06-19T00:00:00"/>
    <n v="492782"/>
    <n v="514323.71"/>
    <n v="407"/>
    <x v="0"/>
    <n v="6"/>
    <x v="5"/>
  </r>
  <r>
    <d v="2024-06-20T00:00:00"/>
    <n v="515200"/>
    <n v="516349.14"/>
    <n v="434"/>
    <x v="0"/>
    <n v="6"/>
    <x v="5"/>
  </r>
  <r>
    <d v="2024-06-21T00:00:00"/>
    <n v="518792"/>
    <n v="513765.43"/>
    <n v="415"/>
    <x v="0"/>
    <n v="6"/>
    <x v="5"/>
  </r>
  <r>
    <d v="2024-06-22T00:00:00"/>
    <n v="515575"/>
    <n v="520497.14"/>
    <n v="407"/>
    <x v="0"/>
    <n v="6"/>
    <x v="5"/>
  </r>
  <r>
    <d v="2024-06-23T00:00:00"/>
    <n v="502754"/>
    <n v="513362.71"/>
    <n v="407"/>
    <x v="0"/>
    <n v="6"/>
    <x v="5"/>
  </r>
  <r>
    <d v="2024-06-24T00:00:00"/>
    <n v="481164"/>
    <n v="509629.14"/>
    <n v="391"/>
    <x v="0"/>
    <n v="6"/>
    <x v="5"/>
  </r>
  <r>
    <d v="2024-06-25T00:00:00"/>
    <n v="515893"/>
    <n v="506022.86"/>
    <n v="408"/>
    <x v="0"/>
    <n v="6"/>
    <x v="5"/>
  </r>
  <r>
    <d v="2024-06-26T00:00:00"/>
    <n v="542954"/>
    <n v="513190.29"/>
    <n v="452"/>
    <x v="0"/>
    <n v="6"/>
    <x v="5"/>
  </r>
  <r>
    <d v="2024-06-27T00:00:00"/>
    <n v="538107"/>
    <n v="516462.71"/>
    <n v="416"/>
    <x v="0"/>
    <n v="6"/>
    <x v="5"/>
  </r>
  <r>
    <d v="2024-06-28T00:00:00"/>
    <n v="509803"/>
    <n v="515178.57"/>
    <n v="401"/>
    <x v="0"/>
    <n v="6"/>
    <x v="5"/>
  </r>
  <r>
    <d v="2024-06-29T00:00:00"/>
    <n v="543649"/>
    <n v="519189.14"/>
    <n v="453"/>
    <x v="0"/>
    <n v="6"/>
    <x v="5"/>
  </r>
  <r>
    <d v="2024-06-30T00:00:00"/>
    <n v="508402"/>
    <n v="519996"/>
    <n v="410"/>
    <x v="0"/>
    <n v="6"/>
    <x v="5"/>
  </r>
  <r>
    <d v="2024-07-01T00:00:00"/>
    <n v="489324"/>
    <n v="521161.71"/>
    <n v="381"/>
    <x v="0"/>
    <n v="7"/>
    <x v="6"/>
  </r>
  <r>
    <d v="2024-07-02T00:00:00"/>
    <n v="470854"/>
    <n v="514727.57"/>
    <n v="375"/>
    <x v="0"/>
    <n v="7"/>
    <x v="6"/>
  </r>
  <r>
    <d v="2024-07-03T00:00:00"/>
    <n v="465584"/>
    <n v="503674.71"/>
    <n v="377"/>
    <x v="0"/>
    <n v="7"/>
    <x v="6"/>
  </r>
  <r>
    <d v="2024-07-04T00:00:00"/>
    <n v="528542"/>
    <n v="502308.29"/>
    <n v="409"/>
    <x v="0"/>
    <n v="7"/>
    <x v="6"/>
  </r>
  <r>
    <d v="2024-07-05T00:00:00"/>
    <n v="553194"/>
    <n v="508507"/>
    <n v="427"/>
    <x v="0"/>
    <n v="7"/>
    <x v="6"/>
  </r>
  <r>
    <d v="2024-07-06T00:00:00"/>
    <n v="511372"/>
    <n v="503896"/>
    <n v="401"/>
    <x v="0"/>
    <n v="7"/>
    <x v="6"/>
  </r>
  <r>
    <d v="2024-07-07T00:00:00"/>
    <n v="499921"/>
    <n v="502684.43"/>
    <n v="392"/>
    <x v="0"/>
    <n v="7"/>
    <x v="6"/>
  </r>
  <r>
    <d v="2024-07-08T00:00:00"/>
    <n v="571794"/>
    <n v="514465.86"/>
    <n v="435"/>
    <x v="0"/>
    <n v="7"/>
    <x v="6"/>
  </r>
  <r>
    <d v="2024-07-09T00:00:00"/>
    <n v="459358"/>
    <n v="512823.57"/>
    <n v="384"/>
    <x v="0"/>
    <n v="7"/>
    <x v="6"/>
  </r>
  <r>
    <d v="2024-07-10T00:00:00"/>
    <n v="565244"/>
    <n v="527060.71"/>
    <n v="439"/>
    <x v="0"/>
    <n v="7"/>
    <x v="6"/>
  </r>
  <r>
    <d v="2024-07-11T00:00:00"/>
    <n v="532689"/>
    <n v="527653.14"/>
    <n v="419"/>
    <x v="0"/>
    <n v="7"/>
    <x v="6"/>
  </r>
  <r>
    <d v="2024-07-12T00:00:00"/>
    <n v="557429"/>
    <n v="528258.14"/>
    <n v="445"/>
    <x v="0"/>
    <n v="7"/>
    <x v="6"/>
  </r>
  <r>
    <d v="2024-07-13T00:00:00"/>
    <n v="519958"/>
    <n v="529484.71"/>
    <n v="417"/>
    <x v="0"/>
    <n v="7"/>
    <x v="6"/>
  </r>
  <r>
    <d v="2024-07-14T00:00:00"/>
    <n v="515482"/>
    <n v="531707.71"/>
    <n v="403"/>
    <x v="0"/>
    <n v="7"/>
    <x v="6"/>
  </r>
  <r>
    <d v="2024-07-15T00:00:00"/>
    <n v="514961"/>
    <n v="523588.71"/>
    <n v="416"/>
    <x v="0"/>
    <n v="7"/>
    <x v="6"/>
  </r>
  <r>
    <d v="2024-07-16T00:00:00"/>
    <n v="552410"/>
    <n v="536881.86"/>
    <n v="437"/>
    <x v="0"/>
    <n v="7"/>
    <x v="6"/>
  </r>
  <r>
    <d v="2024-07-17T00:00:00"/>
    <n v="494495"/>
    <n v="526774.86"/>
    <n v="412"/>
    <x v="0"/>
    <n v="7"/>
    <x v="6"/>
  </r>
  <r>
    <d v="2024-07-18T00:00:00"/>
    <n v="504106"/>
    <n v="522691.57"/>
    <n v="400"/>
    <x v="0"/>
    <n v="7"/>
    <x v="6"/>
  </r>
  <r>
    <d v="2024-07-19T00:00:00"/>
    <n v="530520"/>
    <n v="518847.43"/>
    <n v="435"/>
    <x v="0"/>
    <n v="7"/>
    <x v="6"/>
  </r>
  <r>
    <d v="2024-07-20T00:00:00"/>
    <n v="536303"/>
    <n v="521182.43"/>
    <n v="414"/>
    <x v="0"/>
    <n v="7"/>
    <x v="6"/>
  </r>
  <r>
    <d v="2024-07-21T00:00:00"/>
    <n v="550628"/>
    <n v="526203.29"/>
    <n v="440"/>
    <x v="0"/>
    <n v="7"/>
    <x v="6"/>
  </r>
  <r>
    <d v="2024-07-22T00:00:00"/>
    <n v="534668"/>
    <n v="529018.56999999995"/>
    <n v="434"/>
    <x v="0"/>
    <n v="7"/>
    <x v="6"/>
  </r>
  <r>
    <d v="2024-07-23T00:00:00"/>
    <n v="550494"/>
    <n v="528744.86"/>
    <n v="429"/>
    <x v="0"/>
    <n v="7"/>
    <x v="6"/>
  </r>
  <r>
    <d v="2024-07-24T00:00:00"/>
    <n v="500649"/>
    <n v="529624"/>
    <n v="399"/>
    <x v="0"/>
    <n v="7"/>
    <x v="6"/>
  </r>
  <r>
    <d v="2024-07-25T00:00:00"/>
    <n v="467739"/>
    <n v="524428.71"/>
    <n v="381"/>
    <x v="0"/>
    <n v="7"/>
    <x v="6"/>
  </r>
  <r>
    <d v="2024-07-26T00:00:00"/>
    <n v="538519"/>
    <n v="525571.43000000005"/>
    <n v="434"/>
    <x v="0"/>
    <n v="7"/>
    <x v="6"/>
  </r>
  <r>
    <d v="2024-07-27T00:00:00"/>
    <n v="506324"/>
    <n v="521288.71"/>
    <n v="418"/>
    <x v="0"/>
    <n v="7"/>
    <x v="6"/>
  </r>
  <r>
    <d v="2024-07-28T00:00:00"/>
    <n v="515948"/>
    <n v="516334.43"/>
    <n v="414"/>
    <x v="0"/>
    <n v="7"/>
    <x v="6"/>
  </r>
  <r>
    <d v="2024-07-29T00:00:00"/>
    <n v="534319"/>
    <n v="516284.57"/>
    <n v="430"/>
    <x v="0"/>
    <n v="7"/>
    <x v="6"/>
  </r>
  <r>
    <d v="2024-07-30T00:00:00"/>
    <n v="462396"/>
    <n v="503699.14"/>
    <n v="366"/>
    <x v="0"/>
    <n v="7"/>
    <x v="6"/>
  </r>
  <r>
    <d v="2024-07-31T00:00:00"/>
    <n v="460182"/>
    <n v="497918.14"/>
    <n v="379"/>
    <x v="0"/>
    <n v="7"/>
    <x v="6"/>
  </r>
  <r>
    <d v="2024-08-01T00:00:00"/>
    <n v="473688"/>
    <n v="498768"/>
    <n v="379"/>
    <x v="0"/>
    <n v="8"/>
    <x v="7"/>
  </r>
  <r>
    <d v="2024-08-02T00:00:00"/>
    <n v="546110"/>
    <n v="499852.43"/>
    <n v="447"/>
    <x v="0"/>
    <n v="8"/>
    <x v="7"/>
  </r>
  <r>
    <d v="2024-08-03T00:00:00"/>
    <n v="528382"/>
    <n v="503003.57"/>
    <n v="400"/>
    <x v="0"/>
    <n v="8"/>
    <x v="7"/>
  </r>
  <r>
    <d v="2024-08-04T00:00:00"/>
    <n v="524759"/>
    <n v="504262.29"/>
    <n v="415"/>
    <x v="0"/>
    <n v="8"/>
    <x v="7"/>
  </r>
  <r>
    <d v="2024-08-05T00:00:00"/>
    <n v="534258"/>
    <n v="504253.57"/>
    <n v="410"/>
    <x v="0"/>
    <n v="8"/>
    <x v="7"/>
  </r>
  <r>
    <d v="2024-08-06T00:00:00"/>
    <n v="553757"/>
    <n v="517305.14"/>
    <n v="446"/>
    <x v="0"/>
    <n v="8"/>
    <x v="7"/>
  </r>
  <r>
    <d v="2024-08-07T00:00:00"/>
    <n v="485215"/>
    <n v="520881.29"/>
    <n v="393"/>
    <x v="0"/>
    <n v="8"/>
    <x v="7"/>
  </r>
  <r>
    <d v="2024-08-08T00:00:00"/>
    <n v="479045"/>
    <n v="521646.57"/>
    <n v="387"/>
    <x v="0"/>
    <n v="8"/>
    <x v="7"/>
  </r>
  <r>
    <d v="2024-08-09T00:00:00"/>
    <n v="549078"/>
    <n v="522070.57"/>
    <n v="419"/>
    <x v="0"/>
    <n v="8"/>
    <x v="7"/>
  </r>
  <r>
    <d v="2024-08-10T00:00:00"/>
    <n v="467731"/>
    <n v="513406.14"/>
    <n v="391"/>
    <x v="0"/>
    <n v="8"/>
    <x v="7"/>
  </r>
  <r>
    <d v="2024-08-11T00:00:00"/>
    <n v="544658"/>
    <n v="516248.86"/>
    <n v="439"/>
    <x v="0"/>
    <n v="8"/>
    <x v="7"/>
  </r>
  <r>
    <d v="2024-08-12T00:00:00"/>
    <n v="492042"/>
    <n v="510218"/>
    <n v="405"/>
    <x v="0"/>
    <n v="8"/>
    <x v="7"/>
  </r>
  <r>
    <d v="2024-08-13T00:00:00"/>
    <n v="504447"/>
    <n v="503173.71"/>
    <n v="418"/>
    <x v="0"/>
    <n v="8"/>
    <x v="7"/>
  </r>
  <r>
    <d v="2024-08-14T00:00:00"/>
    <n v="547088"/>
    <n v="512012.71"/>
    <n v="423"/>
    <x v="0"/>
    <n v="8"/>
    <x v="7"/>
  </r>
  <r>
    <d v="2024-08-15T00:00:00"/>
    <n v="523110"/>
    <n v="518307.71"/>
    <n v="412"/>
    <x v="0"/>
    <n v="8"/>
    <x v="7"/>
  </r>
  <r>
    <d v="2024-08-16T00:00:00"/>
    <n v="477877"/>
    <n v="508136.14"/>
    <n v="412"/>
    <x v="0"/>
    <n v="8"/>
    <x v="7"/>
  </r>
  <r>
    <d v="2024-08-17T00:00:00"/>
    <n v="506541"/>
    <n v="513680.43"/>
    <n v="397"/>
    <x v="0"/>
    <n v="8"/>
    <x v="7"/>
  </r>
  <r>
    <d v="2024-08-18T00:00:00"/>
    <n v="527709"/>
    <n v="511259.14"/>
    <n v="411"/>
    <x v="0"/>
    <n v="8"/>
    <x v="7"/>
  </r>
  <r>
    <d v="2024-08-19T00:00:00"/>
    <n v="510859"/>
    <n v="513947.29"/>
    <n v="399"/>
    <x v="0"/>
    <n v="8"/>
    <x v="7"/>
  </r>
  <r>
    <d v="2024-08-20T00:00:00"/>
    <n v="527436"/>
    <n v="517231.43"/>
    <n v="421"/>
    <x v="0"/>
    <n v="8"/>
    <x v="7"/>
  </r>
  <r>
    <d v="2024-08-21T00:00:00"/>
    <n v="544562"/>
    <n v="516870.57"/>
    <n v="452"/>
    <x v="0"/>
    <n v="8"/>
    <x v="7"/>
  </r>
  <r>
    <d v="2024-08-22T00:00:00"/>
    <n v="520576"/>
    <n v="516508.57"/>
    <n v="443"/>
    <x v="0"/>
    <n v="8"/>
    <x v="7"/>
  </r>
  <r>
    <d v="2024-08-23T00:00:00"/>
    <n v="535583"/>
    <n v="524752.29"/>
    <n v="410"/>
    <x v="0"/>
    <n v="8"/>
    <x v="7"/>
  </r>
  <r>
    <d v="2024-08-24T00:00:00"/>
    <n v="512276"/>
    <n v="525571.56999999995"/>
    <n v="426"/>
    <x v="0"/>
    <n v="8"/>
    <x v="7"/>
  </r>
  <r>
    <d v="2024-08-25T00:00:00"/>
    <n v="522887"/>
    <n v="524882.71"/>
    <n v="429"/>
    <x v="0"/>
    <n v="8"/>
    <x v="7"/>
  </r>
  <r>
    <d v="2024-08-26T00:00:00"/>
    <n v="533840"/>
    <n v="528165.71"/>
    <n v="436"/>
    <x v="0"/>
    <n v="8"/>
    <x v="7"/>
  </r>
  <r>
    <d v="2024-08-27T00:00:00"/>
    <n v="461365"/>
    <n v="518727"/>
    <n v="357"/>
    <x v="0"/>
    <n v="8"/>
    <x v="7"/>
  </r>
  <r>
    <d v="2024-08-28T00:00:00"/>
    <n v="557555"/>
    <n v="520583.14"/>
    <n v="440"/>
    <x v="0"/>
    <n v="8"/>
    <x v="7"/>
  </r>
  <r>
    <d v="2024-08-29T00:00:00"/>
    <n v="507132"/>
    <n v="518662.57"/>
    <n v="411"/>
    <x v="0"/>
    <n v="8"/>
    <x v="7"/>
  </r>
  <r>
    <d v="2024-08-30T00:00:00"/>
    <n v="494736"/>
    <n v="512827.29"/>
    <n v="386"/>
    <x v="0"/>
    <n v="8"/>
    <x v="7"/>
  </r>
  <r>
    <d v="2024-08-31T00:00:00"/>
    <n v="517102"/>
    <n v="513516.71"/>
    <n v="404"/>
    <x v="0"/>
    <n v="8"/>
    <x v="7"/>
  </r>
  <r>
    <d v="2024-09-01T00:00:00"/>
    <n v="517128"/>
    <n v="512694"/>
    <n v="420"/>
    <x v="0"/>
    <n v="9"/>
    <x v="8"/>
  </r>
  <r>
    <d v="2024-09-02T00:00:00"/>
    <n v="525798"/>
    <n v="511545.14"/>
    <n v="410"/>
    <x v="0"/>
    <n v="9"/>
    <x v="8"/>
  </r>
  <r>
    <d v="2024-09-03T00:00:00"/>
    <n v="516406"/>
    <n v="519408.14"/>
    <n v="406"/>
    <x v="0"/>
    <n v="9"/>
    <x v="8"/>
  </r>
  <r>
    <d v="2024-09-04T00:00:00"/>
    <n v="520114"/>
    <n v="514059.43"/>
    <n v="422"/>
    <x v="0"/>
    <n v="9"/>
    <x v="8"/>
  </r>
  <r>
    <d v="2024-09-05T00:00:00"/>
    <n v="472924"/>
    <n v="509172.57"/>
    <n v="394"/>
    <x v="0"/>
    <n v="9"/>
    <x v="8"/>
  </r>
  <r>
    <d v="2024-09-06T00:00:00"/>
    <n v="519291"/>
    <n v="512680.43"/>
    <n v="416"/>
    <x v="0"/>
    <n v="9"/>
    <x v="8"/>
  </r>
  <r>
    <d v="2024-09-07T00:00:00"/>
    <n v="564567"/>
    <n v="519461.14"/>
    <n v="434"/>
    <x v="0"/>
    <n v="9"/>
    <x v="8"/>
  </r>
  <r>
    <d v="2024-09-08T00:00:00"/>
    <n v="469340"/>
    <n v="512634.29"/>
    <n v="396"/>
    <x v="0"/>
    <n v="9"/>
    <x v="8"/>
  </r>
  <r>
    <d v="2024-09-09T00:00:00"/>
    <n v="505194"/>
    <n v="509690.86"/>
    <n v="403"/>
    <x v="0"/>
    <n v="9"/>
    <x v="8"/>
  </r>
  <r>
    <d v="2024-09-10T00:00:00"/>
    <n v="531263"/>
    <n v="511813.29"/>
    <n v="402"/>
    <x v="0"/>
    <n v="9"/>
    <x v="8"/>
  </r>
  <r>
    <d v="2024-09-11T00:00:00"/>
    <n v="436600"/>
    <n v="499882.71"/>
    <n v="368"/>
    <x v="0"/>
    <n v="9"/>
    <x v="8"/>
  </r>
  <r>
    <d v="2024-09-12T00:00:00"/>
    <n v="541459"/>
    <n v="509673.43"/>
    <n v="439"/>
    <x v="0"/>
    <n v="9"/>
    <x v="8"/>
  </r>
  <r>
    <d v="2024-09-13T00:00:00"/>
    <n v="480274"/>
    <n v="504099.57"/>
    <n v="398"/>
    <x v="0"/>
    <n v="9"/>
    <x v="8"/>
  </r>
  <r>
    <d v="2024-09-14T00:00:00"/>
    <n v="473265"/>
    <n v="491056.43"/>
    <n v="373"/>
    <x v="0"/>
    <n v="9"/>
    <x v="8"/>
  </r>
  <r>
    <d v="2024-09-15T00:00:00"/>
    <n v="547703"/>
    <n v="502251.14"/>
    <n v="444"/>
    <x v="0"/>
    <n v="9"/>
    <x v="8"/>
  </r>
  <r>
    <d v="2024-09-16T00:00:00"/>
    <n v="461539"/>
    <n v="496014.71"/>
    <n v="386"/>
    <x v="0"/>
    <n v="9"/>
    <x v="8"/>
  </r>
  <r>
    <d v="2024-09-17T00:00:00"/>
    <n v="530562"/>
    <n v="495914.57"/>
    <n v="420"/>
    <x v="0"/>
    <n v="9"/>
    <x v="8"/>
  </r>
  <r>
    <d v="2024-09-18T00:00:00"/>
    <n v="492644"/>
    <n v="503920.86"/>
    <n v="399"/>
    <x v="0"/>
    <n v="9"/>
    <x v="8"/>
  </r>
  <r>
    <d v="2024-09-19T00:00:00"/>
    <n v="511179"/>
    <n v="499595.14"/>
    <n v="411"/>
    <x v="0"/>
    <n v="9"/>
    <x v="8"/>
  </r>
  <r>
    <d v="2024-09-20T00:00:00"/>
    <n v="508714"/>
    <n v="503658"/>
    <n v="403"/>
    <x v="0"/>
    <n v="9"/>
    <x v="8"/>
  </r>
  <r>
    <d v="2024-09-21T00:00:00"/>
    <n v="523536"/>
    <n v="510839.57"/>
    <n v="425"/>
    <x v="0"/>
    <n v="9"/>
    <x v="8"/>
  </r>
  <r>
    <d v="2024-09-22T00:00:00"/>
    <n v="496028"/>
    <n v="503457.43"/>
    <n v="386"/>
    <x v="0"/>
    <n v="9"/>
    <x v="8"/>
  </r>
  <r>
    <d v="2024-09-23T00:00:00"/>
    <n v="515053"/>
    <n v="511102.29"/>
    <n v="418"/>
    <x v="0"/>
    <n v="9"/>
    <x v="8"/>
  </r>
  <r>
    <d v="2024-09-24T00:00:00"/>
    <n v="549718"/>
    <n v="513838.86"/>
    <n v="437"/>
    <x v="0"/>
    <n v="9"/>
    <x v="8"/>
  </r>
  <r>
    <d v="2024-09-25T00:00:00"/>
    <n v="484781"/>
    <n v="512715.57"/>
    <n v="378"/>
    <x v="0"/>
    <n v="9"/>
    <x v="8"/>
  </r>
  <r>
    <d v="2024-09-26T00:00:00"/>
    <n v="521938"/>
    <n v="514252.57"/>
    <n v="416"/>
    <x v="0"/>
    <n v="9"/>
    <x v="8"/>
  </r>
  <r>
    <d v="2024-09-27T00:00:00"/>
    <n v="506539"/>
    <n v="513941.86"/>
    <n v="426"/>
    <x v="0"/>
    <n v="9"/>
    <x v="8"/>
  </r>
  <r>
    <d v="2024-09-28T00:00:00"/>
    <n v="499463"/>
    <n v="510502.86"/>
    <n v="388"/>
    <x v="0"/>
    <n v="9"/>
    <x v="8"/>
  </r>
  <r>
    <d v="2024-09-29T00:00:00"/>
    <n v="536987"/>
    <n v="516354.14"/>
    <n v="428"/>
    <x v="0"/>
    <n v="9"/>
    <x v="8"/>
  </r>
  <r>
    <d v="2024-09-30T00:00:00"/>
    <n v="488796"/>
    <n v="512603.14"/>
    <n v="397"/>
    <x v="0"/>
    <n v="9"/>
    <x v="8"/>
  </r>
  <r>
    <d v="2024-10-01T00:00:00"/>
    <n v="484244"/>
    <n v="503249.71"/>
    <n v="390"/>
    <x v="0"/>
    <n v="10"/>
    <x v="9"/>
  </r>
  <r>
    <d v="2024-10-02T00:00:00"/>
    <n v="505900"/>
    <n v="506266.71"/>
    <n v="405"/>
    <x v="0"/>
    <n v="10"/>
    <x v="9"/>
  </r>
  <r>
    <d v="2024-10-03T00:00:00"/>
    <n v="554965"/>
    <n v="510984.86"/>
    <n v="417"/>
    <x v="0"/>
    <n v="10"/>
    <x v="9"/>
  </r>
  <r>
    <d v="2024-10-04T00:00:00"/>
    <n v="525468"/>
    <n v="513689"/>
    <n v="422"/>
    <x v="0"/>
    <n v="10"/>
    <x v="9"/>
  </r>
  <r>
    <d v="2024-10-05T00:00:00"/>
    <n v="496258"/>
    <n v="513231.14"/>
    <n v="406"/>
    <x v="0"/>
    <n v="10"/>
    <x v="9"/>
  </r>
  <r>
    <d v="2024-10-06T00:00:00"/>
    <n v="506753"/>
    <n v="508912"/>
    <n v="434"/>
    <x v="0"/>
    <n v="10"/>
    <x v="9"/>
  </r>
  <r>
    <d v="2024-10-07T00:00:00"/>
    <n v="552227"/>
    <n v="517973.57"/>
    <n v="423"/>
    <x v="0"/>
    <n v="10"/>
    <x v="9"/>
  </r>
  <r>
    <d v="2024-10-08T00:00:00"/>
    <n v="486401"/>
    <n v="518281.71"/>
    <n v="390"/>
    <x v="0"/>
    <n v="10"/>
    <x v="9"/>
  </r>
  <r>
    <d v="2024-10-09T00:00:00"/>
    <n v="530491"/>
    <n v="521794.71"/>
    <n v="427"/>
    <x v="0"/>
    <n v="10"/>
    <x v="9"/>
  </r>
  <r>
    <d v="2024-10-10T00:00:00"/>
    <n v="517614"/>
    <n v="516458.86"/>
    <n v="400"/>
    <x v="0"/>
    <n v="10"/>
    <x v="9"/>
  </r>
  <r>
    <d v="2024-10-11T00:00:00"/>
    <n v="512939"/>
    <n v="514669"/>
    <n v="434"/>
    <x v="0"/>
    <n v="10"/>
    <x v="9"/>
  </r>
  <r>
    <d v="2024-10-12T00:00:00"/>
    <n v="516356"/>
    <n v="517540.14"/>
    <n v="412"/>
    <x v="0"/>
    <n v="10"/>
    <x v="9"/>
  </r>
  <r>
    <d v="2024-10-13T00:00:00"/>
    <n v="506674"/>
    <n v="517528.86"/>
    <n v="408"/>
    <x v="0"/>
    <n v="10"/>
    <x v="9"/>
  </r>
  <r>
    <d v="2024-10-14T00:00:00"/>
    <n v="502415"/>
    <n v="510412.86"/>
    <n v="404"/>
    <x v="0"/>
    <n v="10"/>
    <x v="9"/>
  </r>
  <r>
    <d v="2024-10-15T00:00:00"/>
    <n v="481720"/>
    <n v="509744.14"/>
    <n v="393"/>
    <x v="0"/>
    <n v="10"/>
    <x v="9"/>
  </r>
  <r>
    <d v="2024-10-16T00:00:00"/>
    <n v="483515"/>
    <n v="503033.29"/>
    <n v="393"/>
    <x v="0"/>
    <n v="10"/>
    <x v="9"/>
  </r>
  <r>
    <d v="2024-10-17T00:00:00"/>
    <n v="551387"/>
    <n v="507858"/>
    <n v="431"/>
    <x v="0"/>
    <n v="10"/>
    <x v="9"/>
  </r>
  <r>
    <d v="2024-10-18T00:00:00"/>
    <n v="530413"/>
    <n v="510354.29"/>
    <n v="414"/>
    <x v="0"/>
    <n v="10"/>
    <x v="9"/>
  </r>
  <r>
    <d v="2024-10-19T00:00:00"/>
    <n v="507557"/>
    <n v="509097.29"/>
    <n v="402"/>
    <x v="0"/>
    <n v="10"/>
    <x v="9"/>
  </r>
  <r>
    <d v="2024-10-20T00:00:00"/>
    <n v="471723"/>
    <n v="504104.29"/>
    <n v="384"/>
    <x v="0"/>
    <n v="10"/>
    <x v="9"/>
  </r>
  <r>
    <d v="2024-10-21T00:00:00"/>
    <n v="511054"/>
    <n v="505338.43"/>
    <n v="397"/>
    <x v="0"/>
    <n v="10"/>
    <x v="9"/>
  </r>
  <r>
    <d v="2024-10-22T00:00:00"/>
    <n v="477899"/>
    <n v="504792.57"/>
    <n v="401"/>
    <x v="0"/>
    <n v="10"/>
    <x v="9"/>
  </r>
  <r>
    <d v="2024-10-23T00:00:00"/>
    <n v="469427"/>
    <n v="502780"/>
    <n v="384"/>
    <x v="0"/>
    <n v="10"/>
    <x v="9"/>
  </r>
  <r>
    <d v="2024-10-24T00:00:00"/>
    <n v="539006"/>
    <n v="501011.29"/>
    <n v="434"/>
    <x v="0"/>
    <n v="10"/>
    <x v="9"/>
  </r>
  <r>
    <d v="2024-10-25T00:00:00"/>
    <n v="551379"/>
    <n v="504006.43"/>
    <n v="427"/>
    <x v="0"/>
    <n v="10"/>
    <x v="9"/>
  </r>
  <r>
    <d v="2024-10-26T00:00:00"/>
    <n v="542123"/>
    <n v="508944.43"/>
    <n v="425"/>
    <x v="0"/>
    <n v="10"/>
    <x v="9"/>
  </r>
  <r>
    <d v="2024-10-27T00:00:00"/>
    <n v="487699"/>
    <n v="511226.71"/>
    <n v="387"/>
    <x v="0"/>
    <n v="10"/>
    <x v="9"/>
  </r>
  <r>
    <d v="2024-10-28T00:00:00"/>
    <n v="517850"/>
    <n v="512197.57"/>
    <n v="408"/>
    <x v="0"/>
    <n v="10"/>
    <x v="9"/>
  </r>
  <r>
    <d v="2024-10-29T00:00:00"/>
    <n v="526826"/>
    <n v="519187.14"/>
    <n v="431"/>
    <x v="0"/>
    <n v="10"/>
    <x v="9"/>
  </r>
  <r>
    <d v="2024-10-30T00:00:00"/>
    <n v="509667"/>
    <n v="524935.71"/>
    <n v="410"/>
    <x v="0"/>
    <n v="10"/>
    <x v="9"/>
  </r>
  <r>
    <d v="2024-10-31T00:00:00"/>
    <n v="533877"/>
    <n v="524203"/>
    <n v="413"/>
    <x v="0"/>
    <n v="10"/>
    <x v="9"/>
  </r>
  <r>
    <d v="2024-11-01T00:00:00"/>
    <n v="512174"/>
    <n v="518602.29"/>
    <n v="427"/>
    <x v="0"/>
    <n v="11"/>
    <x v="10"/>
  </r>
  <r>
    <d v="2024-11-02T00:00:00"/>
    <n v="478493"/>
    <n v="509512.29"/>
    <n v="386"/>
    <x v="0"/>
    <n v="11"/>
    <x v="10"/>
  </r>
  <r>
    <d v="2024-11-03T00:00:00"/>
    <n v="495234"/>
    <n v="510588.71"/>
    <n v="401"/>
    <x v="0"/>
    <n v="11"/>
    <x v="10"/>
  </r>
  <r>
    <d v="2024-11-04T00:00:00"/>
    <n v="522245"/>
    <n v="511216.57"/>
    <n v="418"/>
    <x v="0"/>
    <n v="11"/>
    <x v="10"/>
  </r>
  <r>
    <d v="2024-11-05T00:00:00"/>
    <n v="498149"/>
    <n v="507119.86"/>
    <n v="420"/>
    <x v="0"/>
    <n v="11"/>
    <x v="10"/>
  </r>
  <r>
    <d v="2024-11-06T00:00:00"/>
    <n v="504960"/>
    <n v="506447.43"/>
    <n v="411"/>
    <x v="0"/>
    <n v="11"/>
    <x v="10"/>
  </r>
  <r>
    <d v="2024-11-07T00:00:00"/>
    <n v="539644"/>
    <n v="507271.29"/>
    <n v="409"/>
    <x v="0"/>
    <n v="11"/>
    <x v="10"/>
  </r>
  <r>
    <d v="2024-11-08T00:00:00"/>
    <n v="494675"/>
    <n v="504771.43"/>
    <n v="415"/>
    <x v="0"/>
    <n v="11"/>
    <x v="10"/>
  </r>
  <r>
    <d v="2024-11-09T00:00:00"/>
    <n v="507230"/>
    <n v="508876.71"/>
    <n v="400"/>
    <x v="0"/>
    <n v="11"/>
    <x v="10"/>
  </r>
  <r>
    <d v="2024-11-10T00:00:00"/>
    <n v="471166"/>
    <n v="505438.43"/>
    <n v="372"/>
    <x v="0"/>
    <n v="11"/>
    <x v="10"/>
  </r>
  <r>
    <d v="2024-11-11T00:00:00"/>
    <n v="507473"/>
    <n v="503328.14"/>
    <n v="415"/>
    <x v="0"/>
    <n v="11"/>
    <x v="10"/>
  </r>
  <r>
    <d v="2024-11-12T00:00:00"/>
    <n v="529370"/>
    <n v="507788.29"/>
    <n v="415"/>
    <x v="0"/>
    <n v="11"/>
    <x v="10"/>
  </r>
  <r>
    <d v="2024-11-13T00:00:00"/>
    <n v="565723"/>
    <n v="516468.71"/>
    <n v="438"/>
    <x v="0"/>
    <n v="11"/>
    <x v="10"/>
  </r>
  <r>
    <d v="2024-11-14T00:00:00"/>
    <n v="518943"/>
    <n v="513511.43"/>
    <n v="407"/>
    <x v="0"/>
    <n v="11"/>
    <x v="10"/>
  </r>
  <r>
    <d v="2024-11-15T00:00:00"/>
    <n v="466906"/>
    <n v="509544.43"/>
    <n v="371"/>
    <x v="0"/>
    <n v="11"/>
    <x v="10"/>
  </r>
  <r>
    <d v="2024-11-16T00:00:00"/>
    <n v="543266"/>
    <n v="514692.43"/>
    <n v="446"/>
    <x v="0"/>
    <n v="11"/>
    <x v="10"/>
  </r>
  <r>
    <d v="2024-11-17T00:00:00"/>
    <n v="511014"/>
    <n v="520385"/>
    <n v="405"/>
    <x v="0"/>
    <n v="11"/>
    <x v="10"/>
  </r>
  <r>
    <d v="2024-11-18T00:00:00"/>
    <n v="499597"/>
    <n v="519259.86"/>
    <n v="409"/>
    <x v="0"/>
    <n v="11"/>
    <x v="10"/>
  </r>
  <r>
    <d v="2024-11-19T00:00:00"/>
    <n v="516867"/>
    <n v="517473.71"/>
    <n v="403"/>
    <x v="0"/>
    <n v="11"/>
    <x v="10"/>
  </r>
  <r>
    <d v="2024-11-20T00:00:00"/>
    <n v="536756"/>
    <n v="513335.57"/>
    <n v="433"/>
    <x v="0"/>
    <n v="11"/>
    <x v="10"/>
  </r>
  <r>
    <d v="2024-11-21T00:00:00"/>
    <n v="485419"/>
    <n v="508546.43"/>
    <n v="405"/>
    <x v="0"/>
    <n v="11"/>
    <x v="10"/>
  </r>
  <r>
    <d v="2024-11-22T00:00:00"/>
    <n v="501231"/>
    <n v="513450"/>
    <n v="403"/>
    <x v="0"/>
    <n v="11"/>
    <x v="10"/>
  </r>
  <r>
    <d v="2024-11-23T00:00:00"/>
    <n v="537759"/>
    <n v="512663.29"/>
    <n v="429"/>
    <x v="0"/>
    <n v="11"/>
    <x v="10"/>
  </r>
  <r>
    <d v="2024-11-24T00:00:00"/>
    <n v="495121"/>
    <n v="510392.86"/>
    <n v="390"/>
    <x v="0"/>
    <n v="11"/>
    <x v="10"/>
  </r>
  <r>
    <d v="2024-11-25T00:00:00"/>
    <n v="485742"/>
    <n v="508413.57"/>
    <n v="398"/>
    <x v="0"/>
    <n v="11"/>
    <x v="10"/>
  </r>
  <r>
    <d v="2024-11-26T00:00:00"/>
    <n v="511882"/>
    <n v="507701.43"/>
    <n v="399"/>
    <x v="0"/>
    <n v="11"/>
    <x v="10"/>
  </r>
  <r>
    <d v="2024-11-27T00:00:00"/>
    <n v="518550"/>
    <n v="505100.57"/>
    <n v="423"/>
    <x v="0"/>
    <n v="11"/>
    <x v="10"/>
  </r>
  <r>
    <d v="2024-11-28T00:00:00"/>
    <n v="549661"/>
    <n v="514278"/>
    <n v="442"/>
    <x v="0"/>
    <n v="11"/>
    <x v="10"/>
  </r>
  <r>
    <d v="2024-11-29T00:00:00"/>
    <n v="495152"/>
    <n v="513409.57"/>
    <n v="402"/>
    <x v="0"/>
    <n v="11"/>
    <x v="10"/>
  </r>
  <r>
    <d v="2024-11-30T00:00:00"/>
    <n v="484267"/>
    <n v="505767.86"/>
    <n v="408"/>
    <x v="0"/>
    <n v="11"/>
    <x v="10"/>
  </r>
  <r>
    <d v="2024-12-01T00:00:00"/>
    <n v="477312"/>
    <n v="503223.71"/>
    <n v="393"/>
    <x v="0"/>
    <n v="12"/>
    <x v="11"/>
  </r>
  <r>
    <d v="2024-12-02T00:00:00"/>
    <n v="495338"/>
    <n v="504594.57"/>
    <n v="411"/>
    <x v="0"/>
    <n v="12"/>
    <x v="11"/>
  </r>
  <r>
    <d v="2024-12-03T00:00:00"/>
    <n v="465560"/>
    <n v="497977.14"/>
    <n v="394"/>
    <x v="0"/>
    <n v="12"/>
    <x v="11"/>
  </r>
  <r>
    <d v="2024-12-04T00:00:00"/>
    <n v="510713"/>
    <n v="496857.57"/>
    <n v="391"/>
    <x v="0"/>
    <n v="12"/>
    <x v="11"/>
  </r>
  <r>
    <d v="2024-12-05T00:00:00"/>
    <n v="543006"/>
    <n v="495906.86"/>
    <n v="430"/>
    <x v="0"/>
    <n v="12"/>
    <x v="11"/>
  </r>
  <r>
    <d v="2024-12-06T00:00:00"/>
    <n v="517365"/>
    <n v="499080.14"/>
    <n v="417"/>
    <x v="0"/>
    <n v="12"/>
    <x v="11"/>
  </r>
  <r>
    <d v="2024-12-07T00:00:00"/>
    <n v="531674"/>
    <n v="505852.57"/>
    <n v="412"/>
    <x v="0"/>
    <n v="12"/>
    <x v="11"/>
  </r>
  <r>
    <d v="2024-12-08T00:00:00"/>
    <n v="522130"/>
    <n v="512255.14"/>
    <n v="401"/>
    <x v="0"/>
    <n v="12"/>
    <x v="11"/>
  </r>
  <r>
    <d v="2024-12-09T00:00:00"/>
    <n v="491315"/>
    <n v="511680.43"/>
    <n v="392"/>
    <x v="0"/>
    <n v="12"/>
    <x v="11"/>
  </r>
  <r>
    <d v="2024-12-10T00:00:00"/>
    <n v="532606"/>
    <n v="521258.43"/>
    <n v="439"/>
    <x v="0"/>
    <n v="12"/>
    <x v="11"/>
  </r>
  <r>
    <d v="2024-12-11T00:00:00"/>
    <n v="479085"/>
    <n v="516740.14"/>
    <n v="401"/>
    <x v="0"/>
    <n v="12"/>
    <x v="11"/>
  </r>
  <r>
    <d v="2024-12-12T00:00:00"/>
    <n v="511723"/>
    <n v="512271.14"/>
    <n v="417"/>
    <x v="0"/>
    <n v="12"/>
    <x v="11"/>
  </r>
  <r>
    <d v="2024-12-13T00:00:00"/>
    <n v="503836"/>
    <n v="510338.43"/>
    <n v="411"/>
    <x v="0"/>
    <n v="12"/>
    <x v="11"/>
  </r>
  <r>
    <d v="2024-12-14T00:00:00"/>
    <n v="518328"/>
    <n v="508431.86"/>
    <n v="423"/>
    <x v="0"/>
    <n v="12"/>
    <x v="11"/>
  </r>
  <r>
    <d v="2024-12-15T00:00:00"/>
    <n v="501864"/>
    <n v="505536.71"/>
    <n v="411"/>
    <x v="0"/>
    <n v="12"/>
    <x v="11"/>
  </r>
  <r>
    <d v="2024-12-16T00:00:00"/>
    <n v="496212"/>
    <n v="506236.29"/>
    <n v="400"/>
    <x v="0"/>
    <n v="12"/>
    <x v="11"/>
  </r>
  <r>
    <d v="2024-12-17T00:00:00"/>
    <n v="496129"/>
    <n v="501025.29"/>
    <n v="399"/>
    <x v="0"/>
    <n v="12"/>
    <x v="11"/>
  </r>
  <r>
    <d v="2024-12-18T00:00:00"/>
    <n v="473000"/>
    <n v="500156"/>
    <n v="396"/>
    <x v="0"/>
    <n v="12"/>
    <x v="11"/>
  </r>
  <r>
    <d v="2024-12-19T00:00:00"/>
    <n v="482199"/>
    <n v="495938.29"/>
    <n v="405"/>
    <x v="0"/>
    <n v="12"/>
    <x v="11"/>
  </r>
  <r>
    <d v="2024-12-20T00:00:00"/>
    <n v="517347"/>
    <n v="497868.43"/>
    <n v="422"/>
    <x v="0"/>
    <n v="12"/>
    <x v="11"/>
  </r>
  <r>
    <d v="2024-12-21T00:00:00"/>
    <n v="498825"/>
    <n v="495082.29"/>
    <n v="410"/>
    <x v="0"/>
    <n v="12"/>
    <x v="11"/>
  </r>
  <r>
    <d v="2024-12-22T00:00:00"/>
    <n v="484601"/>
    <n v="492616.14"/>
    <n v="396"/>
    <x v="0"/>
    <n v="12"/>
    <x v="11"/>
  </r>
  <r>
    <d v="2024-12-23T00:00:00"/>
    <n v="559182"/>
    <n v="501611.86"/>
    <n v="421"/>
    <x v="0"/>
    <n v="12"/>
    <x v="11"/>
  </r>
  <r>
    <d v="2024-12-24T00:00:00"/>
    <n v="525297"/>
    <n v="505778.71"/>
    <n v="429"/>
    <x v="0"/>
    <n v="12"/>
    <x v="11"/>
  </r>
  <r>
    <d v="2024-12-25T00:00:00"/>
    <n v="569116"/>
    <n v="519509.57"/>
    <n v="427"/>
    <x v="0"/>
    <n v="12"/>
    <x v="11"/>
  </r>
  <r>
    <d v="2024-12-26T00:00:00"/>
    <n v="470470"/>
    <n v="517834"/>
    <n v="380"/>
    <x v="0"/>
    <n v="12"/>
    <x v="11"/>
  </r>
  <r>
    <d v="2024-12-27T00:00:00"/>
    <n v="539102"/>
    <n v="520941.86"/>
    <n v="442"/>
    <x v="0"/>
    <n v="12"/>
    <x v="11"/>
  </r>
  <r>
    <d v="2024-12-28T00:00:00"/>
    <n v="481522"/>
    <n v="518470"/>
    <n v="390"/>
    <x v="0"/>
    <n v="12"/>
    <x v="11"/>
  </r>
  <r>
    <d v="2024-12-29T00:00:00"/>
    <n v="516110"/>
    <n v="522971.29"/>
    <n v="397"/>
    <x v="0"/>
    <n v="12"/>
    <x v="11"/>
  </r>
  <r>
    <d v="2024-12-30T00:00:00"/>
    <n v="503805"/>
    <n v="515060.29"/>
    <n v="399"/>
    <x v="0"/>
    <n v="12"/>
    <x v="11"/>
  </r>
  <r>
    <d v="2024-12-31T00:00:00"/>
    <n v="481959"/>
    <n v="508869.14"/>
    <n v="377"/>
    <x v="0"/>
    <n v="12"/>
    <x v="11"/>
  </r>
  <r>
    <d v="2025-01-01T00:00:00"/>
    <n v="498367"/>
    <n v="498762.14"/>
    <n v="393"/>
    <x v="1"/>
    <n v="1"/>
    <x v="12"/>
  </r>
  <r>
    <d v="2025-01-02T00:00:00"/>
    <n v="508958"/>
    <n v="504260.43"/>
    <n v="408"/>
    <x v="1"/>
    <n v="1"/>
    <x v="12"/>
  </r>
  <r>
    <d v="2025-01-03T00:00:00"/>
    <n v="537396"/>
    <n v="504016.71"/>
    <n v="443"/>
    <x v="1"/>
    <n v="1"/>
    <x v="12"/>
  </r>
  <r>
    <d v="2025-01-04T00:00:00"/>
    <n v="480913"/>
    <n v="503929.71"/>
    <n v="390"/>
    <x v="1"/>
    <n v="1"/>
    <x v="12"/>
  </r>
  <r>
    <d v="2025-01-05T00:00:00"/>
    <n v="498233"/>
    <n v="501375.86"/>
    <n v="408"/>
    <x v="1"/>
    <n v="1"/>
    <x v="12"/>
  </r>
  <r>
    <d v="2025-01-06T00:00:00"/>
    <n v="533209"/>
    <n v="505576.43"/>
    <n v="413"/>
    <x v="1"/>
    <n v="1"/>
    <x v="12"/>
  </r>
  <r>
    <d v="2025-01-07T00:00:00"/>
    <n v="489414"/>
    <n v="506641.43"/>
    <n v="393"/>
    <x v="1"/>
    <n v="1"/>
    <x v="12"/>
  </r>
  <r>
    <d v="2025-01-08T00:00:00"/>
    <n v="553562"/>
    <n v="514526.43"/>
    <n v="423"/>
    <x v="1"/>
    <n v="1"/>
    <x v="12"/>
  </r>
  <r>
    <d v="2025-01-09T00:00:00"/>
    <n v="483215"/>
    <n v="510848.86"/>
    <n v="420"/>
    <x v="1"/>
    <n v="1"/>
    <x v="12"/>
  </r>
  <r>
    <d v="2025-01-10T00:00:00"/>
    <n v="538291"/>
    <n v="510976.71"/>
    <n v="430"/>
    <x v="1"/>
    <n v="1"/>
    <x v="12"/>
  </r>
  <r>
    <d v="2025-01-11T00:00:00"/>
    <n v="547637"/>
    <n v="520508.71"/>
    <n v="431"/>
    <x v="1"/>
    <n v="1"/>
    <x v="12"/>
  </r>
  <r>
    <d v="2025-01-12T00:00:00"/>
    <n v="479493"/>
    <n v="517831.57"/>
    <n v="374"/>
    <x v="1"/>
    <n v="1"/>
    <x v="12"/>
  </r>
  <r>
    <d v="2025-01-13T00:00:00"/>
    <n v="513556"/>
    <n v="515024"/>
    <n v="397"/>
    <x v="1"/>
    <n v="1"/>
    <x v="12"/>
  </r>
  <r>
    <d v="2025-01-14T00:00:00"/>
    <n v="544235"/>
    <n v="522855.57"/>
    <n v="419"/>
    <x v="1"/>
    <n v="1"/>
    <x v="12"/>
  </r>
  <r>
    <d v="2025-01-15T00:00:00"/>
    <n v="462065"/>
    <n v="509784.57"/>
    <n v="387"/>
    <x v="1"/>
    <n v="1"/>
    <x v="12"/>
  </r>
  <r>
    <d v="2025-01-16T00:00:00"/>
    <n v="514095"/>
    <n v="514196"/>
    <n v="422"/>
    <x v="1"/>
    <n v="1"/>
    <x v="12"/>
  </r>
  <r>
    <d v="2025-01-17T00:00:00"/>
    <n v="519834"/>
    <n v="511559.29"/>
    <n v="420"/>
    <x v="1"/>
    <n v="1"/>
    <x v="12"/>
  </r>
  <r>
    <d v="2025-01-18T00:00:00"/>
    <n v="509783"/>
    <n v="506151.57"/>
    <n v="416"/>
    <x v="1"/>
    <n v="1"/>
    <x v="12"/>
  </r>
  <r>
    <d v="2025-01-19T00:00:00"/>
    <n v="549050"/>
    <n v="516088.29"/>
    <n v="432"/>
    <x v="1"/>
    <n v="1"/>
    <x v="12"/>
  </r>
  <r>
    <d v="2025-01-20T00:00:00"/>
    <n v="525203"/>
    <n v="517752.14"/>
    <n v="436"/>
    <x v="1"/>
    <n v="1"/>
    <x v="12"/>
  </r>
  <r>
    <d v="2025-01-21T00:00:00"/>
    <n v="510486"/>
    <n v="512930.86"/>
    <n v="422"/>
    <x v="1"/>
    <n v="1"/>
    <x v="12"/>
  </r>
  <r>
    <d v="2025-01-22T00:00:00"/>
    <n v="538675"/>
    <n v="523875.14"/>
    <n v="413"/>
    <x v="1"/>
    <n v="1"/>
    <x v="12"/>
  </r>
  <r>
    <d v="2025-01-23T00:00:00"/>
    <n v="501431"/>
    <n v="522066"/>
    <n v="402"/>
    <x v="1"/>
    <n v="1"/>
    <x v="12"/>
  </r>
  <r>
    <d v="2025-01-24T00:00:00"/>
    <n v="479542"/>
    <n v="516310"/>
    <n v="378"/>
    <x v="1"/>
    <n v="1"/>
    <x v="12"/>
  </r>
  <r>
    <d v="2025-01-25T00:00:00"/>
    <n v="491543"/>
    <n v="513704.29"/>
    <n v="392"/>
    <x v="1"/>
    <n v="1"/>
    <x v="12"/>
  </r>
  <r>
    <d v="2025-01-26T00:00:00"/>
    <n v="493493"/>
    <n v="505767.57"/>
    <n v="414"/>
    <x v="1"/>
    <n v="1"/>
    <x v="12"/>
  </r>
  <r>
    <d v="2025-01-27T00:00:00"/>
    <n v="492755"/>
    <n v="501132.14"/>
    <n v="393"/>
    <x v="1"/>
    <n v="1"/>
    <x v="12"/>
  </r>
  <r>
    <d v="2025-01-28T00:00:00"/>
    <n v="498378"/>
    <n v="499402.43"/>
    <n v="389"/>
    <x v="1"/>
    <n v="1"/>
    <x v="12"/>
  </r>
  <r>
    <d v="2025-01-29T00:00:00"/>
    <n v="441937"/>
    <n v="485582.71"/>
    <n v="370"/>
    <x v="1"/>
    <n v="1"/>
    <x v="12"/>
  </r>
  <r>
    <d v="2025-01-30T00:00:00"/>
    <n v="459936"/>
    <n v="479654.86"/>
    <n v="366"/>
    <x v="1"/>
    <n v="1"/>
    <x v="12"/>
  </r>
  <r>
    <d v="2025-01-31T00:00:00"/>
    <n v="508597"/>
    <n v="483805.57"/>
    <n v="410"/>
    <x v="1"/>
    <n v="1"/>
    <x v="12"/>
  </r>
  <r>
    <d v="2025-02-01T00:00:00"/>
    <n v="462522"/>
    <n v="479659.71"/>
    <n v="385"/>
    <x v="1"/>
    <n v="2"/>
    <x v="13"/>
  </r>
  <r>
    <d v="2025-02-02T00:00:00"/>
    <n v="463536"/>
    <n v="475380.14"/>
    <n v="374"/>
    <x v="1"/>
    <n v="2"/>
    <x v="13"/>
  </r>
  <r>
    <d v="2025-02-03T00:00:00"/>
    <n v="514191"/>
    <n v="478442.43"/>
    <n v="410"/>
    <x v="1"/>
    <n v="2"/>
    <x v="13"/>
  </r>
  <r>
    <d v="2025-02-04T00:00:00"/>
    <n v="585043"/>
    <n v="490823.14"/>
    <n v="456"/>
    <x v="1"/>
    <n v="2"/>
    <x v="13"/>
  </r>
  <r>
    <d v="2025-02-05T00:00:00"/>
    <n v="514846"/>
    <n v="501238.71"/>
    <n v="413"/>
    <x v="1"/>
    <n v="2"/>
    <x v="13"/>
  </r>
  <r>
    <d v="2025-02-06T00:00:00"/>
    <n v="503122"/>
    <n v="507408.14"/>
    <n v="407"/>
    <x v="1"/>
    <n v="2"/>
    <x v="13"/>
  </r>
  <r>
    <d v="2025-02-07T00:00:00"/>
    <n v="505340"/>
    <n v="506942.86"/>
    <n v="396"/>
    <x v="1"/>
    <n v="2"/>
    <x v="13"/>
  </r>
  <r>
    <d v="2025-02-08T00:00:00"/>
    <n v="493057"/>
    <n v="511305"/>
    <n v="401"/>
    <x v="1"/>
    <n v="2"/>
    <x v="13"/>
  </r>
  <r>
    <d v="2025-02-09T00:00:00"/>
    <n v="525137"/>
    <n v="520105.14"/>
    <n v="423"/>
    <x v="1"/>
    <n v="2"/>
    <x v="13"/>
  </r>
  <r>
    <d v="2025-02-10T00:00:00"/>
    <n v="556444"/>
    <n v="526141.29"/>
    <n v="415"/>
    <x v="1"/>
    <n v="2"/>
    <x v="13"/>
  </r>
  <r>
    <d v="2025-02-11T00:00:00"/>
    <n v="493098"/>
    <n v="513006.29"/>
    <n v="421"/>
    <x v="1"/>
    <n v="2"/>
    <x v="13"/>
  </r>
  <r>
    <d v="2025-02-12T00:00:00"/>
    <n v="490128"/>
    <n v="509475.14"/>
    <n v="395"/>
    <x v="1"/>
    <n v="2"/>
    <x v="13"/>
  </r>
  <r>
    <d v="2025-02-13T00:00:00"/>
    <n v="538813"/>
    <n v="514573.86"/>
    <n v="424"/>
    <x v="1"/>
    <n v="2"/>
    <x v="13"/>
  </r>
  <r>
    <d v="2025-02-14T00:00:00"/>
    <n v="494034"/>
    <n v="512958.71"/>
    <n v="406"/>
    <x v="1"/>
    <n v="2"/>
    <x v="13"/>
  </r>
  <r>
    <d v="2025-02-15T00:00:00"/>
    <n v="527139"/>
    <n v="517827.57"/>
    <n v="403"/>
    <x v="1"/>
    <n v="2"/>
    <x v="13"/>
  </r>
  <r>
    <d v="2025-02-16T00:00:00"/>
    <n v="518427"/>
    <n v="516869"/>
    <n v="404"/>
    <x v="1"/>
    <n v="2"/>
    <x v="13"/>
  </r>
  <r>
    <d v="2025-02-17T00:00:00"/>
    <n v="500071"/>
    <n v="508815.71"/>
    <n v="398"/>
    <x v="1"/>
    <n v="2"/>
    <x v="13"/>
  </r>
  <r>
    <d v="2025-02-18T00:00:00"/>
    <n v="439316"/>
    <n v="501132.57"/>
    <n v="368"/>
    <x v="1"/>
    <n v="2"/>
    <x v="13"/>
  </r>
  <r>
    <d v="2025-02-19T00:00:00"/>
    <n v="521033"/>
    <n v="505547.57"/>
    <n v="413"/>
    <x v="1"/>
    <n v="2"/>
    <x v="13"/>
  </r>
  <r>
    <d v="2025-02-20T00:00:00"/>
    <n v="558096"/>
    <n v="508302.29"/>
    <n v="436"/>
    <x v="1"/>
    <n v="2"/>
    <x v="13"/>
  </r>
  <r>
    <d v="2025-02-21T00:00:00"/>
    <n v="506210"/>
    <n v="510041.71"/>
    <n v="402"/>
    <x v="1"/>
    <n v="2"/>
    <x v="13"/>
  </r>
  <r>
    <d v="2025-02-22T00:00:00"/>
    <n v="440095"/>
    <n v="497606.86"/>
    <n v="344"/>
    <x v="1"/>
    <n v="2"/>
    <x v="13"/>
  </r>
  <r>
    <d v="2025-02-23T00:00:00"/>
    <n v="501278"/>
    <n v="495157"/>
    <n v="389"/>
    <x v="1"/>
    <n v="2"/>
    <x v="13"/>
  </r>
  <r>
    <d v="2025-02-24T00:00:00"/>
    <n v="555432"/>
    <n v="503065.71"/>
    <n v="442"/>
    <x v="1"/>
    <n v="2"/>
    <x v="13"/>
  </r>
  <r>
    <d v="2025-02-25T00:00:00"/>
    <n v="519998"/>
    <n v="514591.71"/>
    <n v="438"/>
    <x v="1"/>
    <n v="2"/>
    <x v="13"/>
  </r>
  <r>
    <d v="2025-02-26T00:00:00"/>
    <n v="555366"/>
    <n v="519496.43"/>
    <n v="457"/>
    <x v="1"/>
    <n v="2"/>
    <x v="13"/>
  </r>
  <r>
    <d v="2025-02-27T00:00:00"/>
    <n v="472330"/>
    <n v="507244.14"/>
    <n v="377"/>
    <x v="1"/>
    <n v="2"/>
    <x v="13"/>
  </r>
  <r>
    <d v="2025-02-28T00:00:00"/>
    <n v="535730"/>
    <n v="511461.29"/>
    <n v="434"/>
    <x v="1"/>
    <n v="2"/>
    <x v="13"/>
  </r>
  <r>
    <d v="2025-03-01T00:00:00"/>
    <n v="470788"/>
    <n v="515846"/>
    <n v="405"/>
    <x v="1"/>
    <n v="3"/>
    <x v="14"/>
  </r>
  <r>
    <d v="2025-03-02T00:00:00"/>
    <n v="532517"/>
    <n v="520308.71"/>
    <n v="422"/>
    <x v="1"/>
    <n v="3"/>
    <x v="14"/>
  </r>
  <r>
    <d v="2025-03-03T00:00:00"/>
    <n v="489096"/>
    <n v="510832.14"/>
    <n v="410"/>
    <x v="1"/>
    <n v="3"/>
    <x v="14"/>
  </r>
  <r>
    <d v="2025-03-04T00:00:00"/>
    <n v="540772"/>
    <n v="513799.86"/>
    <n v="414"/>
    <x v="1"/>
    <n v="3"/>
    <x v="14"/>
  </r>
  <r>
    <d v="2025-03-05T00:00:00"/>
    <n v="528772"/>
    <n v="510000.71"/>
    <n v="439"/>
    <x v="1"/>
    <n v="3"/>
    <x v="14"/>
  </r>
  <r>
    <d v="2025-03-06T00:00:00"/>
    <n v="484586"/>
    <n v="511751.57"/>
    <n v="407"/>
    <x v="1"/>
    <n v="3"/>
    <x v="14"/>
  </r>
  <r>
    <d v="2025-03-07T00:00:00"/>
    <n v="494657"/>
    <n v="505884"/>
    <n v="403"/>
    <x v="1"/>
    <n v="3"/>
    <x v="14"/>
  </r>
  <r>
    <d v="2025-03-08T00:00:00"/>
    <n v="513825"/>
    <n v="512032.14"/>
    <n v="404"/>
    <x v="1"/>
    <n v="3"/>
    <x v="14"/>
  </r>
  <r>
    <d v="2025-03-09T00:00:00"/>
    <n v="495975"/>
    <n v="506811.86"/>
    <n v="400"/>
    <x v="1"/>
    <n v="3"/>
    <x v="14"/>
  </r>
  <r>
    <d v="2025-03-10T00:00:00"/>
    <n v="585061"/>
    <n v="520521.14"/>
    <n v="460"/>
    <x v="1"/>
    <n v="3"/>
    <x v="14"/>
  </r>
  <r>
    <d v="2025-03-11T00:00:00"/>
    <n v="507459"/>
    <n v="515762.14"/>
    <n v="404"/>
    <x v="1"/>
    <n v="3"/>
    <x v="14"/>
  </r>
  <r>
    <d v="2025-03-12T00:00:00"/>
    <n v="545042"/>
    <n v="518086.43"/>
    <n v="433"/>
    <x v="1"/>
    <n v="3"/>
    <x v="14"/>
  </r>
  <r>
    <d v="2025-03-13T00:00:00"/>
    <n v="473809"/>
    <n v="516546.86"/>
    <n v="386"/>
    <x v="1"/>
    <n v="3"/>
    <x v="14"/>
  </r>
  <r>
    <d v="2025-03-14T00:00:00"/>
    <n v="530590"/>
    <n v="521680.14"/>
    <n v="424"/>
    <x v="1"/>
    <n v="3"/>
    <x v="14"/>
  </r>
  <r>
    <d v="2025-03-15T00:00:00"/>
    <n v="501679"/>
    <n v="519945"/>
    <n v="410"/>
    <x v="1"/>
    <n v="3"/>
    <x v="14"/>
  </r>
  <r>
    <d v="2025-03-16T00:00:00"/>
    <n v="494552"/>
    <n v="519741.71"/>
    <n v="397"/>
    <x v="1"/>
    <n v="3"/>
    <x v="14"/>
  </r>
  <r>
    <d v="2025-03-17T00:00:00"/>
    <n v="529698"/>
    <n v="511832.71"/>
    <n v="418"/>
    <x v="1"/>
    <n v="3"/>
    <x v="14"/>
  </r>
  <r>
    <d v="2025-03-18T00:00:00"/>
    <n v="497218"/>
    <n v="510369.71"/>
    <n v="413"/>
    <x v="1"/>
    <n v="3"/>
    <x v="14"/>
  </r>
  <r>
    <d v="2025-03-19T00:00:00"/>
    <n v="538128"/>
    <n v="509382"/>
    <n v="432"/>
    <x v="1"/>
    <n v="3"/>
    <x v="14"/>
  </r>
  <r>
    <d v="2025-03-20T00:00:00"/>
    <n v="490281"/>
    <n v="511735.14"/>
    <n v="386"/>
    <x v="1"/>
    <n v="3"/>
    <x v="14"/>
  </r>
  <r>
    <d v="2025-03-21T00:00:00"/>
    <n v="521907"/>
    <n v="510494.71"/>
    <n v="415"/>
    <x v="1"/>
    <n v="3"/>
    <x v="14"/>
  </r>
  <r>
    <d v="2025-03-22T00:00:00"/>
    <n v="530920"/>
    <n v="514672"/>
    <n v="435"/>
    <x v="1"/>
    <n v="3"/>
    <x v="14"/>
  </r>
  <r>
    <d v="2025-03-23T00:00:00"/>
    <n v="493730"/>
    <n v="514554.57"/>
    <n v="380"/>
    <x v="1"/>
    <n v="3"/>
    <x v="14"/>
  </r>
  <r>
    <d v="2025-03-24T00:00:00"/>
    <n v="497562"/>
    <n v="509963.71"/>
    <n v="402"/>
    <x v="1"/>
    <n v="3"/>
    <x v="14"/>
  </r>
  <r>
    <d v="2025-03-25T00:00:00"/>
    <n v="521679"/>
    <n v="513458.14"/>
    <n v="416"/>
    <x v="1"/>
    <n v="3"/>
    <x v="14"/>
  </r>
  <r>
    <d v="2025-03-26T00:00:00"/>
    <n v="552014"/>
    <n v="515441.86"/>
    <n v="440"/>
    <x v="1"/>
    <n v="3"/>
    <x v="14"/>
  </r>
  <r>
    <d v="2025-03-27T00:00:00"/>
    <n v="553432"/>
    <n v="524463.43000000005"/>
    <n v="428"/>
    <x v="1"/>
    <n v="3"/>
    <x v="14"/>
  </r>
  <r>
    <d v="2025-03-28T00:00:00"/>
    <n v="539843"/>
    <n v="527025.71"/>
    <n v="419"/>
    <x v="1"/>
    <n v="3"/>
    <x v="14"/>
  </r>
  <r>
    <d v="2025-03-29T00:00:00"/>
    <n v="504360"/>
    <n v="523231.43"/>
    <n v="405"/>
    <x v="1"/>
    <n v="3"/>
    <x v="14"/>
  </r>
  <r>
    <d v="2025-03-30T00:00:00"/>
    <n v="549321"/>
    <n v="531173"/>
    <n v="423"/>
    <x v="1"/>
    <n v="3"/>
    <x v="14"/>
  </r>
  <r>
    <d v="2025-03-31T00:00:00"/>
    <n v="496668"/>
    <n v="531045.29"/>
    <n v="391"/>
    <x v="1"/>
    <n v="3"/>
    <x v="14"/>
  </r>
  <r>
    <d v="2025-04-01T00:00:00"/>
    <n v="512661"/>
    <n v="529757"/>
    <n v="418"/>
    <x v="1"/>
    <n v="4"/>
    <x v="15"/>
  </r>
  <r>
    <d v="2025-04-02T00:00:00"/>
    <n v="514737"/>
    <n v="524431.71"/>
    <n v="404"/>
    <x v="1"/>
    <n v="4"/>
    <x v="15"/>
  </r>
  <r>
    <d v="2025-04-03T00:00:00"/>
    <n v="550582"/>
    <n v="524024.57"/>
    <n v="459"/>
    <x v="1"/>
    <n v="4"/>
    <x v="15"/>
  </r>
  <r>
    <d v="2025-04-04T00:00:00"/>
    <n v="531611"/>
    <n v="522848.57"/>
    <n v="419"/>
    <x v="1"/>
    <n v="4"/>
    <x v="15"/>
  </r>
  <r>
    <d v="2025-04-05T00:00:00"/>
    <n v="471090"/>
    <n v="518095.71"/>
    <n v="370"/>
    <x v="1"/>
    <n v="4"/>
    <x v="15"/>
  </r>
  <r>
    <d v="2025-04-06T00:00:00"/>
    <n v="485584"/>
    <n v="508990.43"/>
    <n v="402"/>
    <x v="1"/>
    <n v="4"/>
    <x v="15"/>
  </r>
  <r>
    <d v="2025-04-07T00:00:00"/>
    <n v="468575"/>
    <n v="504977.14"/>
    <n v="395"/>
    <x v="1"/>
    <n v="4"/>
    <x v="15"/>
  </r>
  <r>
    <d v="2025-04-08T00:00:00"/>
    <n v="522478"/>
    <n v="506379.57"/>
    <n v="408"/>
    <x v="1"/>
    <n v="4"/>
    <x v="15"/>
  </r>
  <r>
    <d v="2025-04-09T00:00:00"/>
    <n v="502347"/>
    <n v="504609.57"/>
    <n v="426"/>
    <x v="1"/>
    <n v="4"/>
    <x v="15"/>
  </r>
  <r>
    <d v="2025-04-10T00:00:00"/>
    <n v="474924"/>
    <n v="493801.29"/>
    <n v="396"/>
    <x v="1"/>
    <n v="4"/>
    <x v="15"/>
  </r>
  <r>
    <d v="2025-04-11T00:00:00"/>
    <n v="566748"/>
    <n v="498820.86"/>
    <n v="443"/>
    <x v="1"/>
    <n v="4"/>
    <x v="15"/>
  </r>
  <r>
    <d v="2025-04-12T00:00:00"/>
    <n v="510975"/>
    <n v="504518.71"/>
    <n v="411"/>
    <x v="1"/>
    <n v="4"/>
    <x v="15"/>
  </r>
  <r>
    <d v="2025-04-13T00:00:00"/>
    <n v="482759"/>
    <n v="504115.14"/>
    <n v="396"/>
    <x v="1"/>
    <n v="4"/>
    <x v="15"/>
  </r>
  <r>
    <d v="2025-04-14T00:00:00"/>
    <n v="512014"/>
    <n v="510320.71"/>
    <n v="423"/>
    <x v="1"/>
    <n v="4"/>
    <x v="15"/>
  </r>
  <r>
    <d v="2025-04-15T00:00:00"/>
    <n v="475405"/>
    <n v="503596"/>
    <n v="383"/>
    <x v="1"/>
    <n v="4"/>
    <x v="15"/>
  </r>
  <r>
    <d v="2025-04-16T00:00:00"/>
    <n v="540607"/>
    <n v="509061.71"/>
    <n v="428"/>
    <x v="1"/>
    <n v="4"/>
    <x v="15"/>
  </r>
  <r>
    <d v="2025-04-17T00:00:00"/>
    <n v="510941"/>
    <n v="514207"/>
    <n v="418"/>
    <x v="1"/>
    <n v="4"/>
    <x v="15"/>
  </r>
  <r>
    <d v="2025-04-18T00:00:00"/>
    <n v="470564"/>
    <n v="500466.43"/>
    <n v="389"/>
    <x v="1"/>
    <n v="4"/>
    <x v="15"/>
  </r>
  <r>
    <d v="2025-04-19T00:00:00"/>
    <n v="541804"/>
    <n v="504870.57"/>
    <n v="420"/>
    <x v="1"/>
    <n v="4"/>
    <x v="15"/>
  </r>
  <r>
    <d v="2025-04-20T00:00:00"/>
    <n v="526592"/>
    <n v="511132.43"/>
    <n v="402"/>
    <x v="1"/>
    <n v="4"/>
    <x v="15"/>
  </r>
  <r>
    <d v="2025-04-21T00:00:00"/>
    <n v="479127"/>
    <n v="506434.29"/>
    <n v="400"/>
    <x v="1"/>
    <n v="4"/>
    <x v="15"/>
  </r>
  <r>
    <d v="2025-04-22T00:00:00"/>
    <n v="503969"/>
    <n v="510514.86"/>
    <n v="401"/>
    <x v="1"/>
    <n v="4"/>
    <x v="15"/>
  </r>
  <r>
    <d v="2025-04-23T00:00:00"/>
    <n v="521815"/>
    <n v="507830.29"/>
    <n v="416"/>
    <x v="1"/>
    <n v="4"/>
    <x v="15"/>
  </r>
  <r>
    <d v="2025-04-24T00:00:00"/>
    <n v="492353"/>
    <n v="505174.86"/>
    <n v="401"/>
    <x v="1"/>
    <n v="4"/>
    <x v="15"/>
  </r>
  <r>
    <d v="2025-04-25T00:00:00"/>
    <n v="515125"/>
    <n v="511540.71"/>
    <n v="409"/>
    <x v="1"/>
    <n v="4"/>
    <x v="15"/>
  </r>
  <r>
    <d v="2025-04-26T00:00:00"/>
    <n v="484927"/>
    <n v="503415.43"/>
    <n v="387"/>
    <x v="1"/>
    <n v="4"/>
    <x v="15"/>
  </r>
  <r>
    <d v="2025-04-27T00:00:00"/>
    <n v="522955"/>
    <n v="502895.86"/>
    <n v="426"/>
    <x v="1"/>
    <n v="4"/>
    <x v="15"/>
  </r>
  <r>
    <d v="2025-04-28T00:00:00"/>
    <n v="520959"/>
    <n v="508871.86"/>
    <n v="410"/>
    <x v="1"/>
    <n v="4"/>
    <x v="15"/>
  </r>
  <r>
    <d v="2025-04-29T00:00:00"/>
    <n v="561066"/>
    <n v="517028.57"/>
    <n v="450"/>
    <x v="1"/>
    <n v="4"/>
    <x v="15"/>
  </r>
  <r>
    <d v="2025-04-30T00:00:00"/>
    <n v="488490"/>
    <n v="512267.86"/>
    <n v="407"/>
    <x v="1"/>
    <n v="4"/>
    <x v="15"/>
  </r>
  <r>
    <d v="2025-05-01T00:00:00"/>
    <n v="521935"/>
    <n v="516493.86"/>
    <n v="405"/>
    <x v="1"/>
    <n v="5"/>
    <x v="16"/>
  </r>
  <r>
    <d v="2025-05-02T00:00:00"/>
    <n v="512998"/>
    <n v="516190"/>
    <n v="405"/>
    <x v="1"/>
    <n v="5"/>
    <x v="16"/>
  </r>
  <r>
    <d v="2025-05-03T00:00:00"/>
    <n v="541939"/>
    <n v="524334.56999999995"/>
    <n v="412"/>
    <x v="1"/>
    <n v="5"/>
    <x v="16"/>
  </r>
  <r>
    <d v="2025-05-04T00:00:00"/>
    <n v="526711"/>
    <n v="524871.14"/>
    <n v="429"/>
    <x v="1"/>
    <n v="5"/>
    <x v="16"/>
  </r>
  <r>
    <d v="2025-05-05T00:00:00"/>
    <n v="555870"/>
    <n v="529858.43000000005"/>
    <n v="413"/>
    <x v="1"/>
    <n v="5"/>
    <x v="16"/>
  </r>
  <r>
    <d v="2025-05-06T00:00:00"/>
    <n v="516815"/>
    <n v="523536.86"/>
    <n v="418"/>
    <x v="1"/>
    <n v="5"/>
    <x v="16"/>
  </r>
  <r>
    <d v="2025-05-07T00:00:00"/>
    <n v="479541"/>
    <n v="522258.43"/>
    <n v="392"/>
    <x v="1"/>
    <n v="5"/>
    <x v="16"/>
  </r>
  <r>
    <d v="2025-05-08T00:00:00"/>
    <n v="473215"/>
    <n v="515298.43"/>
    <n v="380"/>
    <x v="1"/>
    <n v="5"/>
    <x v="16"/>
  </r>
  <r>
    <d v="2025-05-09T00:00:00"/>
    <n v="515950"/>
    <n v="515720.14"/>
    <n v="408"/>
    <x v="1"/>
    <n v="5"/>
    <x v="16"/>
  </r>
  <r>
    <d v="2025-05-10T00:00:00"/>
    <n v="488214"/>
    <n v="508045.14"/>
    <n v="390"/>
    <x v="1"/>
    <n v="5"/>
    <x v="16"/>
  </r>
  <r>
    <d v="2025-05-11T00:00:00"/>
    <n v="534842"/>
    <n v="509206.71"/>
    <n v="427"/>
    <x v="1"/>
    <n v="5"/>
    <x v="16"/>
  </r>
  <r>
    <d v="2025-05-12T00:00:00"/>
    <n v="485585"/>
    <n v="499166"/>
    <n v="371"/>
    <x v="1"/>
    <n v="5"/>
    <x v="16"/>
  </r>
  <r>
    <d v="2025-05-13T00:00:00"/>
    <n v="483470"/>
    <n v="494402.43"/>
    <n v="385"/>
    <x v="1"/>
    <n v="5"/>
    <x v="16"/>
  </r>
  <r>
    <d v="2025-05-14T00:00:00"/>
    <n v="544863"/>
    <n v="503734.14"/>
    <n v="424"/>
    <x v="1"/>
    <n v="5"/>
    <x v="16"/>
  </r>
  <r>
    <d v="2025-05-15T00:00:00"/>
    <n v="499066"/>
    <n v="507427.14"/>
    <n v="404"/>
    <x v="1"/>
    <n v="5"/>
    <x v="16"/>
  </r>
  <r>
    <d v="2025-05-16T00:00:00"/>
    <n v="490014"/>
    <n v="503722"/>
    <n v="392"/>
    <x v="1"/>
    <n v="5"/>
    <x v="16"/>
  </r>
  <r>
    <d v="2025-05-17T00:00:00"/>
    <n v="486979"/>
    <n v="503545.57"/>
    <n v="379"/>
    <x v="1"/>
    <n v="5"/>
    <x v="16"/>
  </r>
  <r>
    <d v="2025-05-18T00:00:00"/>
    <n v="494299"/>
    <n v="497753.71"/>
    <n v="411"/>
    <x v="1"/>
    <n v="5"/>
    <x v="16"/>
  </r>
  <r>
    <d v="2025-05-19T00:00:00"/>
    <n v="526290"/>
    <n v="503568.71"/>
    <n v="432"/>
    <x v="1"/>
    <n v="5"/>
    <x v="16"/>
  </r>
  <r>
    <d v="2025-05-20T00:00:00"/>
    <n v="466961"/>
    <n v="501210.29"/>
    <n v="400"/>
    <x v="1"/>
    <n v="5"/>
    <x v="16"/>
  </r>
  <r>
    <d v="2025-05-21T00:00:00"/>
    <n v="547640"/>
    <n v="501607"/>
    <n v="432"/>
    <x v="1"/>
    <n v="5"/>
    <x v="16"/>
  </r>
  <r>
    <d v="2025-05-22T00:00:00"/>
    <n v="568204"/>
    <n v="511483.86"/>
    <n v="442"/>
    <x v="1"/>
    <n v="5"/>
    <x v="16"/>
  </r>
  <r>
    <d v="2025-05-23T00:00:00"/>
    <n v="499939"/>
    <n v="512901.71"/>
    <n v="417"/>
    <x v="1"/>
    <n v="5"/>
    <x v="16"/>
  </r>
  <r>
    <d v="2025-05-24T00:00:00"/>
    <n v="485183"/>
    <n v="512645.14"/>
    <n v="381"/>
    <x v="1"/>
    <n v="5"/>
    <x v="16"/>
  </r>
  <r>
    <d v="2025-05-25T00:00:00"/>
    <n v="520291"/>
    <n v="516358.29"/>
    <n v="438"/>
    <x v="1"/>
    <n v="5"/>
    <x v="16"/>
  </r>
  <r>
    <d v="2025-05-26T00:00:00"/>
    <n v="481699"/>
    <n v="509988.14"/>
    <n v="374"/>
    <x v="1"/>
    <n v="5"/>
    <x v="16"/>
  </r>
  <r>
    <d v="2025-05-27T00:00:00"/>
    <n v="457143"/>
    <n v="508585.57"/>
    <n v="381"/>
    <x v="1"/>
    <n v="5"/>
    <x v="16"/>
  </r>
  <r>
    <d v="2025-05-28T00:00:00"/>
    <n v="499081"/>
    <n v="501648.57"/>
    <n v="395"/>
    <x v="1"/>
    <n v="5"/>
    <x v="16"/>
  </r>
  <r>
    <d v="2025-05-29T00:00:00"/>
    <n v="501085"/>
    <n v="492060.14"/>
    <n v="407"/>
    <x v="1"/>
    <n v="5"/>
    <x v="16"/>
  </r>
  <r>
    <d v="2025-05-30T00:00:00"/>
    <n v="498644"/>
    <n v="491875.14"/>
    <n v="401"/>
    <x v="1"/>
    <n v="5"/>
    <x v="16"/>
  </r>
  <r>
    <d v="2025-05-31T00:00:00"/>
    <n v="523553"/>
    <n v="497356.57"/>
    <n v="418"/>
    <x v="1"/>
    <n v="5"/>
    <x v="16"/>
  </r>
  <r>
    <d v="2025-06-01T00:00:00"/>
    <n v="534234"/>
    <n v="499348.43"/>
    <n v="411"/>
    <x v="1"/>
    <n v="6"/>
    <x v="17"/>
  </r>
  <r>
    <d v="2025-06-02T00:00:00"/>
    <n v="487254"/>
    <n v="500142"/>
    <n v="395"/>
    <x v="1"/>
    <n v="6"/>
    <x v="17"/>
  </r>
  <r>
    <d v="2025-06-03T00:00:00"/>
    <n v="570464"/>
    <n v="516330.71"/>
    <n v="452"/>
    <x v="1"/>
    <n v="6"/>
    <x v="17"/>
  </r>
  <r>
    <d v="2025-06-04T00:00:00"/>
    <n v="451255"/>
    <n v="509498.43"/>
    <n v="371"/>
    <x v="1"/>
    <n v="6"/>
    <x v="17"/>
  </r>
  <r>
    <d v="2025-06-05T00:00:00"/>
    <n v="504117"/>
    <n v="509931.57"/>
    <n v="415"/>
    <x v="1"/>
    <n v="6"/>
    <x v="17"/>
  </r>
  <r>
    <d v="2025-06-06T00:00:00"/>
    <n v="503672"/>
    <n v="510649.86"/>
    <n v="396"/>
    <x v="1"/>
    <n v="6"/>
    <x v="17"/>
  </r>
  <r>
    <d v="2025-06-07T00:00:00"/>
    <n v="507391"/>
    <n v="508341"/>
    <n v="385"/>
    <x v="1"/>
    <n v="6"/>
    <x v="17"/>
  </r>
  <r>
    <d v="2025-06-08T00:00:00"/>
    <n v="490266"/>
    <n v="502059.86"/>
    <n v="408"/>
    <x v="1"/>
    <n v="6"/>
    <x v="17"/>
  </r>
  <r>
    <d v="2025-06-09T00:00:00"/>
    <n v="546792"/>
    <n v="510565.29"/>
    <n v="423"/>
    <x v="1"/>
    <n v="6"/>
    <x v="17"/>
  </r>
  <r>
    <d v="2025-06-10T00:00:00"/>
    <n v="508411"/>
    <n v="501700.57"/>
    <n v="407"/>
    <x v="1"/>
    <n v="6"/>
    <x v="17"/>
  </r>
  <r>
    <d v="2025-06-11T00:00:00"/>
    <n v="509640"/>
    <n v="510041.29"/>
    <n v="409"/>
    <x v="1"/>
    <n v="6"/>
    <x v="17"/>
  </r>
  <r>
    <d v="2025-06-12T00:00:00"/>
    <n v="490646"/>
    <n v="508116.86"/>
    <n v="401"/>
    <x v="1"/>
    <n v="6"/>
    <x v="17"/>
  </r>
  <r>
    <d v="2025-06-13T00:00:00"/>
    <n v="524342"/>
    <n v="511069.71"/>
    <n v="416"/>
    <x v="1"/>
    <n v="6"/>
    <x v="17"/>
  </r>
  <r>
    <d v="2025-06-14T00:00:00"/>
    <n v="515338"/>
    <n v="512205"/>
    <n v="407"/>
    <x v="1"/>
    <n v="6"/>
    <x v="17"/>
  </r>
  <r>
    <d v="2025-06-15T00:00:00"/>
    <n v="515489"/>
    <n v="515808.29"/>
    <n v="426"/>
    <x v="1"/>
    <n v="6"/>
    <x v="17"/>
  </r>
  <r>
    <d v="2025-06-16T00:00:00"/>
    <n v="552045"/>
    <n v="516558.71"/>
    <n v="439"/>
    <x v="1"/>
    <n v="6"/>
    <x v="17"/>
  </r>
  <r>
    <d v="2025-06-17T00:00:00"/>
    <n v="531639"/>
    <n v="519877"/>
    <n v="433"/>
    <x v="1"/>
    <n v="6"/>
    <x v="17"/>
  </r>
  <r>
    <d v="2025-06-18T00:00:00"/>
    <n v="503177"/>
    <n v="518953.71"/>
    <n v="380"/>
    <x v="1"/>
    <n v="6"/>
    <x v="17"/>
  </r>
  <r>
    <d v="2025-06-19T00:00:00"/>
    <n v="551257"/>
    <n v="527612.43000000005"/>
    <n v="422"/>
    <x v="1"/>
    <n v="6"/>
    <x v="17"/>
  </r>
  <r>
    <d v="2025-06-20T00:00:00"/>
    <n v="482076"/>
    <n v="521574.43"/>
    <n v="398"/>
    <x v="1"/>
    <n v="6"/>
    <x v="17"/>
  </r>
  <r>
    <d v="2025-06-21T00:00:00"/>
    <n v="505181"/>
    <n v="520123.43"/>
    <n v="410"/>
    <x v="1"/>
    <n v="6"/>
    <x v="17"/>
  </r>
  <r>
    <d v="2025-06-22T00:00:00"/>
    <n v="437569"/>
    <n v="508992"/>
    <n v="355"/>
    <x v="1"/>
    <n v="6"/>
    <x v="17"/>
  </r>
  <r>
    <d v="2025-06-23T00:00:00"/>
    <n v="548856"/>
    <n v="508536.43"/>
    <n v="420"/>
    <x v="1"/>
    <n v="6"/>
    <x v="17"/>
  </r>
  <r>
    <d v="2025-06-24T00:00:00"/>
    <n v="517620"/>
    <n v="506533.71"/>
    <n v="403"/>
    <x v="1"/>
    <n v="6"/>
    <x v="17"/>
  </r>
  <r>
    <d v="2025-06-25T00:00:00"/>
    <n v="538790"/>
    <n v="511621.29"/>
    <n v="420"/>
    <x v="1"/>
    <n v="6"/>
    <x v="17"/>
  </r>
  <r>
    <d v="2025-06-26T00:00:00"/>
    <n v="484523"/>
    <n v="502087.86"/>
    <n v="388"/>
    <x v="1"/>
    <n v="6"/>
    <x v="17"/>
  </r>
  <r>
    <d v="2025-06-27T00:00:00"/>
    <n v="540629"/>
    <n v="510452.57"/>
    <n v="443"/>
    <x v="1"/>
    <n v="6"/>
    <x v="17"/>
  </r>
  <r>
    <d v="2025-06-28T00:00:00"/>
    <n v="454423"/>
    <n v="503201.43"/>
    <n v="375"/>
    <x v="1"/>
    <n v="6"/>
    <x v="17"/>
  </r>
  <r>
    <d v="2025-06-29T00:00:00"/>
    <n v="512747"/>
    <n v="513941.14"/>
    <n v="413"/>
    <x v="1"/>
    <n v="6"/>
    <x v="17"/>
  </r>
  <r>
    <d v="2025-06-30T00:00:00"/>
    <n v="507702"/>
    <n v="508062"/>
    <n v="422"/>
    <x v="1"/>
    <n v="6"/>
    <x v="17"/>
  </r>
  <r>
    <d v="2025-07-01T00:00:00"/>
    <n v="511638"/>
    <n v="507207.43"/>
    <n v="417"/>
    <x v="1"/>
    <n v="7"/>
    <x v="18"/>
  </r>
  <r>
    <d v="2025-07-02T00:00:00"/>
    <n v="487864"/>
    <n v="499932.29"/>
    <n v="419"/>
    <x v="1"/>
    <n v="7"/>
    <x v="18"/>
  </r>
  <r>
    <d v="2025-07-03T00:00:00"/>
    <n v="534623"/>
    <n v="507089.43"/>
    <n v="395"/>
    <x v="1"/>
    <n v="7"/>
    <x v="18"/>
  </r>
  <r>
    <d v="2025-07-04T00:00:00"/>
    <n v="510989"/>
    <n v="502855.14"/>
    <n v="430"/>
    <x v="1"/>
    <n v="7"/>
    <x v="18"/>
  </r>
  <r>
    <d v="2025-07-05T00:00:00"/>
    <n v="521384"/>
    <n v="512421"/>
    <n v="415"/>
    <x v="1"/>
    <n v="7"/>
    <x v="18"/>
  </r>
  <r>
    <d v="2025-07-06T00:00:00"/>
    <n v="499613"/>
    <n v="510544.71"/>
    <n v="407"/>
    <x v="1"/>
    <n v="7"/>
    <x v="18"/>
  </r>
  <r>
    <d v="2025-07-07T00:00:00"/>
    <n v="527956"/>
    <n v="513438.14"/>
    <n v="419"/>
    <x v="1"/>
    <n v="7"/>
    <x v="18"/>
  </r>
  <r>
    <d v="2025-07-08T00:00:00"/>
    <n v="483454"/>
    <n v="509411.86"/>
    <n v="386"/>
    <x v="1"/>
    <n v="7"/>
    <x v="18"/>
  </r>
  <r>
    <d v="2025-07-09T00:00:00"/>
    <n v="534291"/>
    <n v="516044.29"/>
    <n v="416"/>
    <x v="1"/>
    <n v="7"/>
    <x v="18"/>
  </r>
  <r>
    <d v="2025-07-10T00:00:00"/>
    <n v="510275"/>
    <n v="512566"/>
    <n v="400"/>
    <x v="1"/>
    <n v="7"/>
    <x v="18"/>
  </r>
  <r>
    <d v="2025-07-11T00:00:00"/>
    <n v="554407"/>
    <n v="518768.57"/>
    <n v="459"/>
    <x v="1"/>
    <n v="7"/>
    <x v="18"/>
  </r>
  <r>
    <d v="2025-07-12T00:00:00"/>
    <n v="534975"/>
    <n v="520710.14"/>
    <n v="422"/>
    <x v="1"/>
    <n v="7"/>
    <x v="18"/>
  </r>
  <r>
    <d v="2025-07-13T00:00:00"/>
    <n v="507008"/>
    <n v="521766.57"/>
    <n v="406"/>
    <x v="1"/>
    <n v="7"/>
    <x v="18"/>
  </r>
  <r>
    <d v="2025-07-14T00:00:00"/>
    <n v="497476"/>
    <n v="517412.29"/>
    <n v="406"/>
    <x v="1"/>
    <n v="7"/>
    <x v="18"/>
  </r>
  <r>
    <d v="2025-07-15T00:00:00"/>
    <n v="527113"/>
    <n v="523649.29"/>
    <n v="411"/>
    <x v="1"/>
    <n v="7"/>
    <x v="18"/>
  </r>
  <r>
    <d v="2025-07-16T00:00:00"/>
    <n v="513427"/>
    <n v="520668.71"/>
    <n v="407"/>
    <x v="1"/>
    <n v="7"/>
    <x v="18"/>
  </r>
  <r>
    <d v="2025-07-17T00:00:00"/>
    <n v="511676"/>
    <n v="520868.86"/>
    <n v="412"/>
    <x v="1"/>
    <n v="7"/>
    <x v="18"/>
  </r>
  <r>
    <d v="2025-07-18T00:00:00"/>
    <n v="536574"/>
    <n v="518321.29"/>
    <n v="425"/>
    <x v="1"/>
    <n v="7"/>
    <x v="18"/>
  </r>
  <r>
    <d v="2025-07-19T00:00:00"/>
    <n v="522623"/>
    <n v="516556.71"/>
    <n v="427"/>
    <x v="1"/>
    <n v="7"/>
    <x v="18"/>
  </r>
  <r>
    <d v="2025-07-20T00:00:00"/>
    <n v="522754"/>
    <n v="518806.14"/>
    <n v="429"/>
    <x v="1"/>
    <n v="7"/>
    <x v="18"/>
  </r>
  <r>
    <d v="2025-07-21T00:00:00"/>
    <n v="464802"/>
    <n v="514138.43"/>
    <n v="397"/>
    <x v="1"/>
    <n v="7"/>
    <x v="18"/>
  </r>
  <r>
    <d v="2025-07-22T00:00:00"/>
    <n v="509875"/>
    <n v="511675.86"/>
    <n v="412"/>
    <x v="1"/>
    <n v="7"/>
    <x v="18"/>
  </r>
  <r>
    <d v="2025-07-23T00:00:00"/>
    <n v="469899"/>
    <n v="505457.57"/>
    <n v="391"/>
    <x v="1"/>
    <n v="7"/>
    <x v="18"/>
  </r>
  <r>
    <d v="2025-07-24T00:00:00"/>
    <n v="495650"/>
    <n v="503168.14"/>
    <n v="404"/>
    <x v="1"/>
    <n v="7"/>
    <x v="18"/>
  </r>
  <r>
    <d v="2025-07-25T00:00:00"/>
    <n v="480307"/>
    <n v="495130"/>
    <n v="387"/>
    <x v="1"/>
    <n v="7"/>
    <x v="18"/>
  </r>
  <r>
    <d v="2025-07-26T00:00:00"/>
    <n v="510970"/>
    <n v="493465.29"/>
    <n v="390"/>
    <x v="1"/>
    <n v="7"/>
    <x v="18"/>
  </r>
  <r>
    <d v="2025-07-27T00:00:00"/>
    <n v="509930"/>
    <n v="491633.29"/>
    <n v="432"/>
    <x v="1"/>
    <n v="7"/>
    <x v="18"/>
  </r>
  <r>
    <d v="2025-07-28T00:00:00"/>
    <n v="528866"/>
    <n v="500785.29"/>
    <n v="410"/>
    <x v="1"/>
    <n v="7"/>
    <x v="18"/>
  </r>
  <r>
    <d v="2025-07-29T00:00:00"/>
    <n v="541958"/>
    <n v="505368.57"/>
    <n v="404"/>
    <x v="1"/>
    <n v="7"/>
    <x v="18"/>
  </r>
  <r>
    <d v="2025-07-30T00:00:00"/>
    <n v="472390"/>
    <n v="505724.43"/>
    <n v="382"/>
    <x v="1"/>
    <n v="7"/>
    <x v="18"/>
  </r>
  <r>
    <d v="2025-07-31T00:00:00"/>
    <n v="512912"/>
    <n v="508190.43"/>
    <n v="418"/>
    <x v="1"/>
    <n v="7"/>
    <x v="18"/>
  </r>
  <r>
    <d v="2025-08-01T00:00:00"/>
    <n v="576013"/>
    <n v="521862.71"/>
    <n v="445"/>
    <x v="1"/>
    <n v="8"/>
    <x v="19"/>
  </r>
  <r>
    <d v="2025-08-02T00:00:00"/>
    <n v="498320"/>
    <n v="520055.57"/>
    <n v="401"/>
    <x v="1"/>
    <n v="8"/>
    <x v="19"/>
  </r>
  <r>
    <d v="2025-08-03T00:00:00"/>
    <n v="537642"/>
    <n v="524014.43"/>
    <n v="431"/>
    <x v="1"/>
    <n v="8"/>
    <x v="19"/>
  </r>
  <r>
    <d v="2025-08-04T00:00:00"/>
    <n v="506249"/>
    <n v="520783.43"/>
    <n v="407"/>
    <x v="1"/>
    <n v="8"/>
    <x v="19"/>
  </r>
  <r>
    <d v="2025-08-05T00:00:00"/>
    <n v="569307"/>
    <n v="524690.43000000005"/>
    <n v="423"/>
    <x v="1"/>
    <n v="8"/>
    <x v="19"/>
  </r>
  <r>
    <d v="2025-08-06T00:00:00"/>
    <n v="524132"/>
    <n v="532082.14"/>
    <n v="423"/>
    <x v="1"/>
    <n v="8"/>
    <x v="19"/>
  </r>
  <r>
    <d v="2025-08-07T00:00:00"/>
    <n v="483649"/>
    <n v="527901.71"/>
    <n v="413"/>
    <x v="1"/>
    <n v="8"/>
    <x v="19"/>
  </r>
  <r>
    <d v="2025-08-08T00:00:00"/>
    <n v="525475"/>
    <n v="520682"/>
    <n v="417"/>
    <x v="1"/>
    <n v="8"/>
    <x v="19"/>
  </r>
  <r>
    <d v="2025-08-09T00:00:00"/>
    <n v="489476"/>
    <n v="519418.57"/>
    <n v="404"/>
    <x v="1"/>
    <n v="8"/>
    <x v="19"/>
  </r>
  <r>
    <d v="2025-08-10T00:00:00"/>
    <n v="512603"/>
    <n v="515841.57"/>
    <n v="388"/>
    <x v="1"/>
    <n v="8"/>
    <x v="19"/>
  </r>
  <r>
    <d v="2025-08-11T00:00:00"/>
    <n v="565833"/>
    <n v="524353.56999999995"/>
    <n v="457"/>
    <x v="1"/>
    <n v="8"/>
    <x v="19"/>
  </r>
  <r>
    <d v="2025-08-12T00:00:00"/>
    <n v="480204"/>
    <n v="511624.57"/>
    <n v="399"/>
    <x v="1"/>
    <n v="8"/>
    <x v="19"/>
  </r>
  <r>
    <d v="2025-08-13T00:00:00"/>
    <n v="479463"/>
    <n v="505243.29"/>
    <n v="393"/>
    <x v="1"/>
    <n v="8"/>
    <x v="19"/>
  </r>
  <r>
    <d v="2025-08-14T00:00:00"/>
    <n v="515324"/>
    <n v="509768.29"/>
    <n v="399"/>
    <x v="1"/>
    <n v="8"/>
    <x v="19"/>
  </r>
  <r>
    <d v="2025-08-15T00:00:00"/>
    <n v="548337"/>
    <n v="513034.29"/>
    <n v="430"/>
    <x v="1"/>
    <n v="8"/>
    <x v="19"/>
  </r>
  <r>
    <d v="2025-08-16T00:00:00"/>
    <n v="579153"/>
    <n v="525845.29"/>
    <n v="445"/>
    <x v="1"/>
    <n v="8"/>
    <x v="19"/>
  </r>
  <r>
    <d v="2025-08-17T00:00:00"/>
    <n v="471074"/>
    <n v="519912.57"/>
    <n v="379"/>
    <x v="1"/>
    <n v="8"/>
    <x v="19"/>
  </r>
  <r>
    <d v="2025-08-18T00:00:00"/>
    <n v="483859"/>
    <n v="508202"/>
    <n v="395"/>
    <x v="1"/>
    <n v="8"/>
    <x v="19"/>
  </r>
  <r>
    <d v="2025-08-19T00:00:00"/>
    <n v="478274"/>
    <n v="507926.29"/>
    <n v="388"/>
    <x v="1"/>
    <n v="8"/>
    <x v="19"/>
  </r>
  <r>
    <d v="2025-08-20T00:00:00"/>
    <n v="462942"/>
    <n v="505566.14"/>
    <n v="396"/>
    <x v="1"/>
    <n v="8"/>
    <x v="19"/>
  </r>
  <r>
    <d v="2025-08-21T00:00:00"/>
    <n v="493268"/>
    <n v="502415.29"/>
    <n v="403"/>
    <x v="1"/>
    <n v="8"/>
    <x v="19"/>
  </r>
  <r>
    <d v="2025-08-22T00:00:00"/>
    <n v="459853"/>
    <n v="489774.71"/>
    <n v="377"/>
    <x v="1"/>
    <n v="8"/>
    <x v="19"/>
  </r>
  <r>
    <d v="2025-08-23T00:00:00"/>
    <n v="509067"/>
    <n v="479762.43"/>
    <n v="395"/>
    <x v="1"/>
    <n v="8"/>
    <x v="19"/>
  </r>
  <r>
    <d v="2025-08-24T00:00:00"/>
    <n v="561773"/>
    <n v="492719.43"/>
    <n v="461"/>
    <x v="1"/>
    <n v="8"/>
    <x v="19"/>
  </r>
  <r>
    <d v="2025-08-25T00:00:00"/>
    <n v="540052"/>
    <n v="500747"/>
    <n v="451"/>
    <x v="1"/>
    <n v="8"/>
    <x v="19"/>
  </r>
  <r>
    <d v="2025-08-26T00:00:00"/>
    <n v="521789"/>
    <n v="506963.43"/>
    <n v="420"/>
    <x v="1"/>
    <n v="8"/>
    <x v="19"/>
  </r>
  <r>
    <d v="2025-08-27T00:00:00"/>
    <n v="503950"/>
    <n v="512821.71"/>
    <n v="401"/>
    <x v="1"/>
    <n v="8"/>
    <x v="19"/>
  </r>
  <r>
    <d v="2025-08-28T00:00:00"/>
    <n v="548094"/>
    <n v="520654"/>
    <n v="422"/>
    <x v="1"/>
    <n v="8"/>
    <x v="19"/>
  </r>
  <r>
    <d v="2025-08-29T00:00:00"/>
    <n v="476311"/>
    <n v="523005.14"/>
    <n v="384"/>
    <x v="1"/>
    <n v="8"/>
    <x v="19"/>
  </r>
  <r>
    <d v="2025-08-30T00:00:00"/>
    <n v="495146"/>
    <n v="521016.43"/>
    <n v="428"/>
    <x v="1"/>
    <n v="8"/>
    <x v="19"/>
  </r>
  <r>
    <d v="2025-08-31T00:00:00"/>
    <n v="484336"/>
    <n v="509954"/>
    <n v="380"/>
    <x v="1"/>
    <n v="8"/>
    <x v="19"/>
  </r>
  <r>
    <d v="2025-09-01T00:00:00"/>
    <n v="532235"/>
    <n v="508837.29"/>
    <n v="424"/>
    <x v="1"/>
    <n v="9"/>
    <x v="20"/>
  </r>
  <r>
    <d v="2025-09-02T00:00:00"/>
    <n v="552478"/>
    <n v="513221.43"/>
    <n v="430"/>
    <x v="1"/>
    <n v="9"/>
    <x v="20"/>
  </r>
  <r>
    <d v="2025-09-03T00:00:00"/>
    <n v="513798"/>
    <n v="514628.29"/>
    <n v="418"/>
    <x v="1"/>
    <n v="9"/>
    <x v="20"/>
  </r>
  <r>
    <d v="2025-09-04T00:00:00"/>
    <n v="532843"/>
    <n v="512449.57"/>
    <n v="410"/>
    <x v="1"/>
    <n v="9"/>
    <x v="20"/>
  </r>
  <r>
    <d v="2025-09-05T00:00:00"/>
    <n v="480643"/>
    <n v="513068.43"/>
    <n v="390"/>
    <x v="1"/>
    <n v="9"/>
    <x v="20"/>
  </r>
  <r>
    <d v="2025-09-06T00:00:00"/>
    <n v="514953"/>
    <n v="515898"/>
    <n v="411"/>
    <x v="1"/>
    <n v="9"/>
    <x v="20"/>
  </r>
  <r>
    <d v="2025-09-07T00:00:00"/>
    <n v="483014"/>
    <n v="515709.14"/>
    <n v="392"/>
    <x v="1"/>
    <n v="9"/>
    <x v="20"/>
  </r>
  <r>
    <d v="2025-09-08T00:00:00"/>
    <n v="470261"/>
    <n v="506855.71"/>
    <n v="400"/>
    <x v="1"/>
    <n v="9"/>
    <x v="20"/>
  </r>
  <r>
    <d v="2025-09-09T00:00:00"/>
    <n v="472665"/>
    <n v="495453.86"/>
    <n v="395"/>
    <x v="1"/>
    <n v="9"/>
    <x v="20"/>
  </r>
  <r>
    <d v="2025-09-10T00:00:00"/>
    <n v="552022"/>
    <n v="500914.43"/>
    <n v="445"/>
    <x v="1"/>
    <n v="9"/>
    <x v="20"/>
  </r>
  <r>
    <d v="2025-09-11T00:00:00"/>
    <n v="528253"/>
    <n v="500258.71"/>
    <n v="405"/>
    <x v="1"/>
    <n v="9"/>
    <x v="20"/>
  </r>
  <r>
    <d v="2025-09-12T00:00:00"/>
    <n v="516967"/>
    <n v="505447.86"/>
    <n v="427"/>
    <x v="1"/>
    <n v="9"/>
    <x v="20"/>
  </r>
  <r>
    <d v="2025-09-13T00:00:00"/>
    <n v="470102"/>
    <n v="499040.57"/>
    <n v="407"/>
    <x v="1"/>
    <n v="9"/>
    <x v="20"/>
  </r>
  <r>
    <d v="2025-09-14T00:00:00"/>
    <n v="516463"/>
    <n v="503819"/>
    <n v="435"/>
    <x v="1"/>
    <n v="9"/>
    <x v="20"/>
  </r>
  <r>
    <d v="2025-09-15T00:00:00"/>
    <n v="492270"/>
    <n v="506963.14"/>
    <n v="409"/>
    <x v="1"/>
    <n v="9"/>
    <x v="20"/>
  </r>
  <r>
    <d v="2025-09-16T00:00:00"/>
    <n v="540721"/>
    <n v="516685.43"/>
    <n v="432"/>
    <x v="1"/>
    <n v="9"/>
    <x v="20"/>
  </r>
  <r>
    <d v="2025-09-17T00:00:00"/>
    <n v="530204"/>
    <n v="513568.57"/>
    <n v="433"/>
    <x v="1"/>
    <n v="9"/>
    <x v="20"/>
  </r>
  <r>
    <d v="2025-09-18T00:00:00"/>
    <n v="466689"/>
    <n v="504773.71"/>
    <n v="375"/>
    <x v="1"/>
    <n v="9"/>
    <x v="20"/>
  </r>
  <r>
    <d v="2025-09-19T00:00:00"/>
    <n v="507590"/>
    <n v="503434.14"/>
    <n v="415"/>
    <x v="1"/>
    <n v="9"/>
    <x v="20"/>
  </r>
  <r>
    <d v="2025-09-20T00:00:00"/>
    <n v="482143"/>
    <n v="505154.29"/>
    <n v="398"/>
    <x v="1"/>
    <n v="9"/>
    <x v="20"/>
  </r>
  <r>
    <d v="2025-09-21T00:00:00"/>
    <n v="527244"/>
    <n v="506694.43"/>
    <n v="414"/>
    <x v="1"/>
    <n v="9"/>
    <x v="20"/>
  </r>
  <r>
    <d v="2025-09-22T00:00:00"/>
    <n v="533277"/>
    <n v="512552.57"/>
    <n v="423"/>
    <x v="1"/>
    <n v="9"/>
    <x v="20"/>
  </r>
  <r>
    <d v="2025-09-23T00:00:00"/>
    <n v="469381"/>
    <n v="502361.14"/>
    <n v="379"/>
    <x v="1"/>
    <n v="9"/>
    <x v="20"/>
  </r>
  <r>
    <d v="2025-09-24T00:00:00"/>
    <n v="540132"/>
    <n v="503779.43"/>
    <n v="436"/>
    <x v="1"/>
    <n v="9"/>
    <x v="20"/>
  </r>
  <r>
    <d v="2025-09-25T00:00:00"/>
    <n v="524785"/>
    <n v="512078.86"/>
    <n v="422"/>
    <x v="1"/>
    <n v="9"/>
    <x v="20"/>
  </r>
  <r>
    <d v="2025-09-26T00:00:00"/>
    <n v="498847"/>
    <n v="510829.86"/>
    <n v="409"/>
    <x v="1"/>
    <n v="9"/>
    <x v="20"/>
  </r>
  <r>
    <d v="2025-09-27T00:00:00"/>
    <n v="483290"/>
    <n v="510993.71"/>
    <n v="382"/>
    <x v="1"/>
    <n v="9"/>
    <x v="20"/>
  </r>
  <r>
    <d v="2025-09-28T00:00:00"/>
    <n v="525571"/>
    <n v="510754.71"/>
    <n v="428"/>
    <x v="1"/>
    <n v="9"/>
    <x v="20"/>
  </r>
  <r>
    <d v="2025-09-29T00:00:00"/>
    <n v="474177"/>
    <n v="502311.86"/>
    <n v="389"/>
    <x v="1"/>
    <n v="9"/>
    <x v="20"/>
  </r>
  <r>
    <d v="2025-09-30T00:00:00"/>
    <n v="541195"/>
    <n v="512571"/>
    <n v="431"/>
    <x v="1"/>
    <n v="9"/>
    <x v="20"/>
  </r>
  <r>
    <d v="2025-10-01T00:00:00"/>
    <n v="561751"/>
    <n v="515659.43"/>
    <n v="434"/>
    <x v="1"/>
    <n v="10"/>
    <x v="21"/>
  </r>
  <r>
    <d v="2025-10-02T00:00:00"/>
    <n v="489120"/>
    <n v="510564.43"/>
    <n v="420"/>
    <x v="1"/>
    <n v="10"/>
    <x v="21"/>
  </r>
  <r>
    <d v="2025-10-03T00:00:00"/>
    <n v="517405"/>
    <n v="513215.57"/>
    <n v="420"/>
    <x v="1"/>
    <n v="10"/>
    <x v="21"/>
  </r>
  <r>
    <d v="2025-10-04T00:00:00"/>
    <n v="492918"/>
    <n v="514591"/>
    <n v="417"/>
    <x v="1"/>
    <n v="10"/>
    <x v="21"/>
  </r>
  <r>
    <d v="2025-10-05T00:00:00"/>
    <n v="527455"/>
    <n v="514860.14"/>
    <n v="401"/>
    <x v="1"/>
    <n v="10"/>
    <x v="21"/>
  </r>
  <r>
    <d v="2025-10-06T00:00:00"/>
    <n v="556845"/>
    <n v="526669.86"/>
    <n v="436"/>
    <x v="1"/>
    <n v="10"/>
    <x v="21"/>
  </r>
  <r>
    <d v="2025-10-07T00:00:00"/>
    <n v="499467"/>
    <n v="520708.71"/>
    <n v="406"/>
    <x v="1"/>
    <n v="10"/>
    <x v="21"/>
  </r>
  <r>
    <d v="2025-10-08T00:00:00"/>
    <n v="489565"/>
    <n v="510396.43"/>
    <n v="405"/>
    <x v="1"/>
    <n v="10"/>
    <x v="21"/>
  </r>
  <r>
    <d v="2025-10-09T00:00:00"/>
    <n v="546491"/>
    <n v="518592.29"/>
    <n v="423"/>
    <x v="1"/>
    <n v="10"/>
    <x v="21"/>
  </r>
  <r>
    <d v="2025-10-10T00:00:00"/>
    <n v="557458"/>
    <n v="524314.14"/>
    <n v="452"/>
    <x v="1"/>
    <n v="10"/>
    <x v="21"/>
  </r>
  <r>
    <d v="2025-10-11T00:00:00"/>
    <n v="492391"/>
    <n v="524238.86"/>
    <n v="390"/>
    <x v="1"/>
    <n v="10"/>
    <x v="21"/>
  </r>
  <r>
    <d v="2025-10-12T00:00:00"/>
    <n v="488544"/>
    <n v="518680.14"/>
    <n v="405"/>
    <x v="1"/>
    <n v="10"/>
    <x v="21"/>
  </r>
  <r>
    <d v="2025-10-13T00:00:00"/>
    <n v="537071"/>
    <n v="515855.29"/>
    <n v="423"/>
    <x v="1"/>
    <n v="10"/>
    <x v="21"/>
  </r>
  <r>
    <d v="2025-10-14T00:00:00"/>
    <n v="451360"/>
    <n v="508982.86"/>
    <n v="370"/>
    <x v="1"/>
    <n v="10"/>
    <x v="21"/>
  </r>
  <r>
    <d v="2025-10-15T00:00:00"/>
    <n v="543187"/>
    <n v="516643.14"/>
    <n v="435"/>
    <x v="1"/>
    <n v="10"/>
    <x v="21"/>
  </r>
  <r>
    <d v="2025-10-16T00:00:00"/>
    <n v="534297"/>
    <n v="514901.14"/>
    <n v="445"/>
    <x v="1"/>
    <n v="10"/>
    <x v="21"/>
  </r>
  <r>
    <d v="2025-10-17T00:00:00"/>
    <n v="517048"/>
    <n v="509128.29"/>
    <n v="407"/>
    <x v="1"/>
    <n v="10"/>
    <x v="21"/>
  </r>
  <r>
    <d v="2025-10-18T00:00:00"/>
    <n v="487059"/>
    <n v="508366.57"/>
    <n v="395"/>
    <x v="1"/>
    <n v="10"/>
    <x v="21"/>
  </r>
  <r>
    <d v="2025-10-19T00:00:00"/>
    <n v="459828"/>
    <n v="504264.29"/>
    <n v="386"/>
    <x v="1"/>
    <n v="10"/>
    <x v="21"/>
  </r>
  <r>
    <d v="2025-10-20T00:00:00"/>
    <n v="524523"/>
    <n v="502471.71"/>
    <n v="411"/>
    <x v="1"/>
    <n v="10"/>
    <x v="21"/>
  </r>
  <r>
    <d v="2025-10-21T00:00:00"/>
    <n v="474243"/>
    <n v="505740.71"/>
    <n v="388"/>
    <x v="1"/>
    <n v="10"/>
    <x v="21"/>
  </r>
  <r>
    <d v="2025-10-22T00:00:00"/>
    <n v="509384"/>
    <n v="500911.71"/>
    <n v="406"/>
    <x v="1"/>
    <n v="10"/>
    <x v="21"/>
  </r>
  <r>
    <d v="2025-10-23T00:00:00"/>
    <n v="489126"/>
    <n v="494458.71"/>
    <n v="383"/>
    <x v="1"/>
    <n v="10"/>
    <x v="21"/>
  </r>
  <r>
    <d v="2025-10-24T00:00:00"/>
    <n v="472637"/>
    <n v="488114.29"/>
    <n v="383"/>
    <x v="1"/>
    <n v="10"/>
    <x v="21"/>
  </r>
  <r>
    <d v="2025-10-25T00:00:00"/>
    <n v="484286"/>
    <n v="487718.14"/>
    <n v="385"/>
    <x v="1"/>
    <n v="10"/>
    <x v="21"/>
  </r>
  <r>
    <d v="2025-10-26T00:00:00"/>
    <n v="470436"/>
    <n v="489233.57"/>
    <n v="371"/>
    <x v="1"/>
    <n v="10"/>
    <x v="21"/>
  </r>
  <r>
    <d v="2025-10-27T00:00:00"/>
    <n v="532883"/>
    <n v="490427.86"/>
    <n v="428"/>
    <x v="1"/>
    <n v="10"/>
    <x v="21"/>
  </r>
  <r>
    <d v="2025-10-28T00:00:00"/>
    <n v="467930"/>
    <n v="489526"/>
    <n v="374"/>
    <x v="1"/>
    <n v="10"/>
    <x v="21"/>
  </r>
  <r>
    <d v="2025-10-29T00:00:00"/>
    <n v="511539"/>
    <n v="489833.86"/>
    <n v="413"/>
    <x v="1"/>
    <n v="10"/>
    <x v="21"/>
  </r>
  <r>
    <d v="2025-10-30T00:00:00"/>
    <n v="522325"/>
    <n v="494576.57"/>
    <n v="420"/>
    <x v="1"/>
    <n v="10"/>
    <x v="21"/>
  </r>
  <r>
    <d v="2025-10-31T00:00:00"/>
    <n v="527021"/>
    <n v="502345.71"/>
    <n v="422"/>
    <x v="1"/>
    <n v="10"/>
    <x v="21"/>
  </r>
  <r>
    <d v="2025-11-01T00:00:00"/>
    <n v="533134"/>
    <n v="509324"/>
    <n v="428"/>
    <x v="1"/>
    <n v="11"/>
    <x v="22"/>
  </r>
  <r>
    <d v="2025-11-02T00:00:00"/>
    <n v="492464"/>
    <n v="512470.86"/>
    <n v="396"/>
    <x v="1"/>
    <n v="11"/>
    <x v="22"/>
  </r>
  <r>
    <d v="2025-11-03T00:00:00"/>
    <n v="503614"/>
    <n v="508289.57"/>
    <n v="407"/>
    <x v="1"/>
    <n v="11"/>
    <x v="22"/>
  </r>
  <r>
    <d v="2025-11-04T00:00:00"/>
    <n v="523890"/>
    <n v="516283.86"/>
    <n v="420"/>
    <x v="1"/>
    <n v="11"/>
    <x v="22"/>
  </r>
  <r>
    <d v="2025-11-05T00:00:00"/>
    <n v="512533"/>
    <n v="516425.86"/>
    <n v="410"/>
    <x v="1"/>
    <n v="11"/>
    <x v="22"/>
  </r>
  <r>
    <d v="2025-11-06T00:00:00"/>
    <n v="495085"/>
    <n v="512534.43"/>
    <n v="407"/>
    <x v="1"/>
    <n v="11"/>
    <x v="22"/>
  </r>
  <r>
    <d v="2025-11-07T00:00:00"/>
    <n v="527005"/>
    <n v="512532.14"/>
    <n v="416"/>
    <x v="1"/>
    <n v="11"/>
    <x v="22"/>
  </r>
  <r>
    <d v="2025-11-08T00:00:00"/>
    <n v="567737"/>
    <n v="517475.43"/>
    <n v="447"/>
    <x v="1"/>
    <n v="11"/>
    <x v="22"/>
  </r>
  <r>
    <d v="2025-11-09T00:00:00"/>
    <n v="544770"/>
    <n v="524947.71"/>
    <n v="426"/>
    <x v="1"/>
    <n v="11"/>
    <x v="22"/>
  </r>
  <r>
    <d v="2025-11-10T00:00:00"/>
    <n v="516835"/>
    <n v="526836.43000000005"/>
    <n v="400"/>
    <x v="1"/>
    <n v="11"/>
    <x v="22"/>
  </r>
  <r>
    <d v="2025-11-11T00:00:00"/>
    <n v="477335"/>
    <n v="520185.71"/>
    <n v="410"/>
    <x v="1"/>
    <n v="11"/>
    <x v="22"/>
  </r>
  <r>
    <d v="2025-11-12T00:00:00"/>
    <n v="500884"/>
    <n v="518521.57"/>
    <n v="398"/>
    <x v="1"/>
    <n v="11"/>
    <x v="22"/>
  </r>
  <r>
    <d v="2025-11-13T00:00:00"/>
    <n v="544777"/>
    <n v="525620.43000000005"/>
    <n v="419"/>
    <x v="1"/>
    <n v="11"/>
    <x v="22"/>
  </r>
  <r>
    <d v="2025-11-14T00:00:00"/>
    <n v="483584"/>
    <n v="519417.43"/>
    <n v="381"/>
    <x v="1"/>
    <n v="11"/>
    <x v="22"/>
  </r>
  <r>
    <d v="2025-11-15T00:00:00"/>
    <n v="478515"/>
    <n v="506671.43"/>
    <n v="410"/>
    <x v="1"/>
    <n v="11"/>
    <x v="22"/>
  </r>
  <r>
    <d v="2025-11-16T00:00:00"/>
    <n v="500588"/>
    <n v="500359.71"/>
    <n v="414"/>
    <x v="1"/>
    <n v="11"/>
    <x v="22"/>
  </r>
  <r>
    <d v="2025-11-17T00:00:00"/>
    <n v="520186"/>
    <n v="500838.43"/>
    <n v="420"/>
    <x v="1"/>
    <n v="11"/>
    <x v="22"/>
  </r>
  <r>
    <d v="2025-11-18T00:00:00"/>
    <n v="478485"/>
    <n v="501002.71"/>
    <n v="391"/>
    <x v="1"/>
    <n v="11"/>
    <x v="22"/>
  </r>
  <r>
    <d v="2025-11-19T00:00:00"/>
    <n v="461175"/>
    <n v="495330"/>
    <n v="395"/>
    <x v="1"/>
    <n v="11"/>
    <x v="22"/>
  </r>
  <r>
    <d v="2025-11-20T00:00:00"/>
    <n v="526501"/>
    <n v="492719.14"/>
    <n v="415"/>
    <x v="1"/>
    <n v="11"/>
    <x v="22"/>
  </r>
  <r>
    <d v="2025-11-21T00:00:00"/>
    <n v="543863"/>
    <n v="501330.43"/>
    <n v="443"/>
    <x v="1"/>
    <n v="11"/>
    <x v="22"/>
  </r>
  <r>
    <d v="2025-11-22T00:00:00"/>
    <n v="547174"/>
    <n v="511138.86"/>
    <n v="425"/>
    <x v="1"/>
    <n v="11"/>
    <x v="22"/>
  </r>
  <r>
    <d v="2025-11-23T00:00:00"/>
    <n v="527629"/>
    <n v="515001.86"/>
    <n v="418"/>
    <x v="1"/>
    <n v="11"/>
    <x v="22"/>
  </r>
  <r>
    <d v="2025-11-24T00:00:00"/>
    <n v="524269"/>
    <n v="515585.14"/>
    <n v="419"/>
    <x v="1"/>
    <n v="11"/>
    <x v="22"/>
  </r>
  <r>
    <d v="2025-11-25T00:00:00"/>
    <n v="443905"/>
    <n v="510645.14"/>
    <n v="365"/>
    <x v="1"/>
    <n v="11"/>
    <x v="22"/>
  </r>
  <r>
    <d v="2025-11-26T00:00:00"/>
    <n v="497853"/>
    <n v="515884.86"/>
    <n v="385"/>
    <x v="1"/>
    <n v="11"/>
    <x v="22"/>
  </r>
  <r>
    <d v="2025-11-27T00:00:00"/>
    <n v="499041"/>
    <n v="511962"/>
    <n v="405"/>
    <x v="1"/>
    <n v="11"/>
    <x v="22"/>
  </r>
  <r>
    <d v="2025-11-28T00:00:00"/>
    <n v="510439"/>
    <n v="507187.14"/>
    <n v="401"/>
    <x v="1"/>
    <n v="11"/>
    <x v="22"/>
  </r>
  <r>
    <d v="2025-11-29T00:00:00"/>
    <n v="542295"/>
    <n v="506490.14"/>
    <n v="435"/>
    <x v="1"/>
    <n v="11"/>
    <x v="22"/>
  </r>
  <r>
    <d v="2025-11-30T00:00:00"/>
    <n v="509961"/>
    <n v="503966.14"/>
    <n v="417"/>
    <x v="1"/>
    <n v="11"/>
    <x v="22"/>
  </r>
  <r>
    <d v="2025-12-01T00:00:00"/>
    <n v="541353"/>
    <n v="506406.71"/>
    <n v="418"/>
    <x v="1"/>
    <n v="12"/>
    <x v="23"/>
  </r>
  <r>
    <d v="2025-12-02T00:00:00"/>
    <n v="505320"/>
    <n v="515180.29"/>
    <n v="411"/>
    <x v="1"/>
    <n v="12"/>
    <x v="23"/>
  </r>
  <r>
    <d v="2025-12-03T00:00:00"/>
    <n v="468433"/>
    <n v="510977.43"/>
    <n v="390"/>
    <x v="1"/>
    <n v="12"/>
    <x v="23"/>
  </r>
  <r>
    <d v="2025-12-04T00:00:00"/>
    <n v="496531"/>
    <n v="510618.86"/>
    <n v="400"/>
    <x v="1"/>
    <n v="12"/>
    <x v="23"/>
  </r>
  <r>
    <d v="2025-12-05T00:00:00"/>
    <n v="535228"/>
    <n v="514160.14"/>
    <n v="437"/>
    <x v="1"/>
    <n v="12"/>
    <x v="23"/>
  </r>
  <r>
    <d v="2025-12-06T00:00:00"/>
    <n v="520952"/>
    <n v="511111.14"/>
    <n v="419"/>
    <x v="1"/>
    <n v="12"/>
    <x v="23"/>
  </r>
  <r>
    <d v="2025-12-07T00:00:00"/>
    <n v="546638"/>
    <n v="516350.71"/>
    <n v="436"/>
    <x v="1"/>
    <n v="12"/>
    <x v="23"/>
  </r>
  <r>
    <d v="2025-12-08T00:00:00"/>
    <n v="509651"/>
    <n v="511821.86"/>
    <n v="427"/>
    <x v="1"/>
    <n v="12"/>
    <x v="23"/>
  </r>
  <r>
    <d v="2025-12-09T00:00:00"/>
    <n v="562958"/>
    <n v="520055.86"/>
    <n v="448"/>
    <x v="1"/>
    <n v="12"/>
    <x v="23"/>
  </r>
  <r>
    <d v="2025-12-10T00:00:00"/>
    <n v="545222"/>
    <n v="531025.71"/>
    <n v="441"/>
    <x v="1"/>
    <n v="12"/>
    <x v="23"/>
  </r>
  <r>
    <d v="2025-12-11T00:00:00"/>
    <n v="498371"/>
    <n v="531288.56999999995"/>
    <n v="403"/>
    <x v="1"/>
    <n v="12"/>
    <x v="23"/>
  </r>
  <r>
    <d v="2025-12-12T00:00:00"/>
    <n v="527002"/>
    <n v="530113.43000000005"/>
    <n v="415"/>
    <x v="1"/>
    <n v="12"/>
    <x v="23"/>
  </r>
  <r>
    <d v="2025-12-13T00:00:00"/>
    <n v="519788"/>
    <n v="529947.14"/>
    <n v="420"/>
    <x v="1"/>
    <n v="12"/>
    <x v="23"/>
  </r>
  <r>
    <d v="2025-12-14T00:00:00"/>
    <n v="490471"/>
    <n v="521923.29"/>
    <n v="401"/>
    <x v="1"/>
    <n v="12"/>
    <x v="23"/>
  </r>
  <r>
    <d v="2025-12-15T00:00:00"/>
    <n v="522364"/>
    <n v="523739.43"/>
    <n v="421"/>
    <x v="1"/>
    <n v="12"/>
    <x v="23"/>
  </r>
  <r>
    <d v="2025-12-16T00:00:00"/>
    <n v="579040"/>
    <n v="526036.86"/>
    <n v="447"/>
    <x v="1"/>
    <n v="12"/>
    <x v="23"/>
  </r>
  <r>
    <d v="2025-12-17T00:00:00"/>
    <n v="518385"/>
    <n v="522203"/>
    <n v="447"/>
    <x v="1"/>
    <n v="12"/>
    <x v="23"/>
  </r>
  <r>
    <d v="2025-12-18T00:00:00"/>
    <n v="512439"/>
    <n v="524212.71"/>
    <n v="421"/>
    <x v="1"/>
    <n v="12"/>
    <x v="23"/>
  </r>
  <r>
    <d v="2025-12-19T00:00:00"/>
    <n v="475663"/>
    <n v="516878.57"/>
    <n v="374"/>
    <x v="1"/>
    <n v="12"/>
    <x v="23"/>
  </r>
  <r>
    <d v="2025-12-20T00:00:00"/>
    <n v="510858"/>
    <n v="515602.86"/>
    <n v="403"/>
    <x v="1"/>
    <n v="12"/>
    <x v="23"/>
  </r>
  <r>
    <d v="2025-12-21T00:00:00"/>
    <n v="561902"/>
    <n v="525807.29"/>
    <n v="415"/>
    <x v="1"/>
    <n v="12"/>
    <x v="23"/>
  </r>
  <r>
    <d v="2025-12-22T00:00:00"/>
    <n v="522932"/>
    <n v="525888.43000000005"/>
    <n v="414"/>
    <x v="1"/>
    <n v="12"/>
    <x v="23"/>
  </r>
  <r>
    <d v="2025-12-23T00:00:00"/>
    <n v="525300"/>
    <n v="518211.29"/>
    <n v="423"/>
    <x v="1"/>
    <n v="12"/>
    <x v="23"/>
  </r>
  <r>
    <d v="2025-12-24T00:00:00"/>
    <n v="537088"/>
    <n v="520883.14"/>
    <n v="428"/>
    <x v="1"/>
    <n v="12"/>
    <x v="23"/>
  </r>
  <r>
    <d v="2025-12-25T00:00:00"/>
    <n v="545975"/>
    <n v="525674"/>
    <n v="446"/>
    <x v="1"/>
    <n v="12"/>
    <x v="23"/>
  </r>
  <r>
    <d v="2025-12-26T00:00:00"/>
    <n v="546511"/>
    <n v="535795.14"/>
    <n v="430"/>
    <x v="1"/>
    <n v="12"/>
    <x v="23"/>
  </r>
  <r>
    <d v="2025-12-27T00:00:00"/>
    <n v="511045"/>
    <n v="535821.86"/>
    <n v="421"/>
    <x v="1"/>
    <n v="12"/>
    <x v="23"/>
  </r>
  <r>
    <d v="2025-12-28T00:00:00"/>
    <n v="485485"/>
    <n v="524905.14"/>
    <n v="396"/>
    <x v="1"/>
    <n v="12"/>
    <x v="23"/>
  </r>
  <r>
    <d v="2025-12-29T00:00:00"/>
    <n v="528891"/>
    <n v="525756.43000000005"/>
    <n v="410"/>
    <x v="1"/>
    <n v="12"/>
    <x v="23"/>
  </r>
  <r>
    <d v="2025-12-30T00:00:00"/>
    <n v="507609"/>
    <n v="523229.14"/>
    <n v="422"/>
    <x v="1"/>
    <n v="12"/>
    <x v="23"/>
  </r>
  <r>
    <d v="2025-12-31T00:00:00"/>
    <n v="528880"/>
    <n v="522056.57"/>
    <n v="436"/>
    <x v="1"/>
    <n v="12"/>
    <x v="23"/>
  </r>
  <r>
    <m/>
    <m/>
    <m/>
    <m/>
    <x v="2"/>
    <m/>
    <x v="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d v="2024-01-01T00:00:00"/>
    <n v="527744"/>
    <n v="527744"/>
    <n v="420"/>
    <n v="2024"/>
    <n v="1"/>
    <x v="0"/>
    <n v="1"/>
    <x v="0"/>
    <x v="0"/>
  </r>
  <r>
    <d v="2024-01-02T00:00:00"/>
    <n v="549190"/>
    <n v="538467"/>
    <n v="422"/>
    <n v="2024"/>
    <n v="1"/>
    <x v="0"/>
    <n v="2"/>
    <x v="0"/>
    <x v="1"/>
  </r>
  <r>
    <d v="2024-01-03T00:00:00"/>
    <n v="453156"/>
    <n v="510030"/>
    <n v="379"/>
    <n v="2024"/>
    <n v="1"/>
    <x v="0"/>
    <n v="3"/>
    <x v="0"/>
    <x v="2"/>
  </r>
  <r>
    <d v="2024-01-04T00:00:00"/>
    <n v="528795"/>
    <n v="514721.25"/>
    <n v="417"/>
    <n v="2024"/>
    <n v="1"/>
    <x v="0"/>
    <n v="4"/>
    <x v="0"/>
    <x v="3"/>
  </r>
  <r>
    <d v="2024-01-05T00:00:00"/>
    <n v="573980"/>
    <n v="526573"/>
    <n v="454"/>
    <n v="2024"/>
    <n v="1"/>
    <x v="0"/>
    <n v="5"/>
    <x v="0"/>
    <x v="4"/>
  </r>
  <r>
    <d v="2024-01-06T00:00:00"/>
    <n v="541934"/>
    <n v="529133.17000000004"/>
    <n v="441"/>
    <n v="2024"/>
    <n v="1"/>
    <x v="0"/>
    <n v="6"/>
    <x v="1"/>
    <x v="5"/>
  </r>
  <r>
    <d v="2024-01-07T00:00:00"/>
    <n v="523740"/>
    <n v="528362.71"/>
    <n v="426"/>
    <n v="2024"/>
    <n v="1"/>
    <x v="0"/>
    <n v="7"/>
    <x v="1"/>
    <x v="6"/>
  </r>
  <r>
    <d v="2024-01-08T00:00:00"/>
    <n v="543225"/>
    <n v="530574.29"/>
    <n v="440"/>
    <n v="2024"/>
    <n v="1"/>
    <x v="0"/>
    <n v="1"/>
    <x v="0"/>
    <x v="0"/>
  </r>
  <r>
    <d v="2024-01-09T00:00:00"/>
    <n v="447793"/>
    <n v="516089"/>
    <n v="372"/>
    <n v="2024"/>
    <n v="1"/>
    <x v="0"/>
    <n v="2"/>
    <x v="0"/>
    <x v="1"/>
  </r>
  <r>
    <d v="2024-01-10T00:00:00"/>
    <n v="525290"/>
    <n v="526393.86"/>
    <n v="407"/>
    <n v="2024"/>
    <n v="1"/>
    <x v="0"/>
    <n v="3"/>
    <x v="0"/>
    <x v="2"/>
  </r>
  <r>
    <d v="2024-01-11T00:00:00"/>
    <n v="486771"/>
    <n v="520390.43"/>
    <n v="391"/>
    <n v="2024"/>
    <n v="1"/>
    <x v="0"/>
    <n v="4"/>
    <x v="0"/>
    <x v="3"/>
  </r>
  <r>
    <d v="2024-01-12T00:00:00"/>
    <n v="505729"/>
    <n v="510640.29"/>
    <n v="417"/>
    <n v="2024"/>
    <n v="1"/>
    <x v="0"/>
    <n v="5"/>
    <x v="0"/>
    <x v="4"/>
  </r>
  <r>
    <d v="2024-01-13T00:00:00"/>
    <n v="530224"/>
    <n v="508967.43"/>
    <n v="426"/>
    <n v="2024"/>
    <n v="1"/>
    <x v="0"/>
    <n v="6"/>
    <x v="1"/>
    <x v="5"/>
  </r>
  <r>
    <d v="2024-01-14T00:00:00"/>
    <n v="502492"/>
    <n v="505932"/>
    <n v="397"/>
    <n v="2024"/>
    <n v="1"/>
    <x v="0"/>
    <n v="7"/>
    <x v="1"/>
    <x v="6"/>
  </r>
  <r>
    <d v="2024-01-15T00:00:00"/>
    <n v="471804"/>
    <n v="495729"/>
    <n v="386"/>
    <n v="2024"/>
    <n v="1"/>
    <x v="0"/>
    <n v="1"/>
    <x v="0"/>
    <x v="0"/>
  </r>
  <r>
    <d v="2024-01-16T00:00:00"/>
    <n v="479467"/>
    <n v="500253.86"/>
    <n v="374"/>
    <n v="2024"/>
    <n v="1"/>
    <x v="0"/>
    <n v="2"/>
    <x v="0"/>
    <x v="1"/>
  </r>
  <r>
    <d v="2024-01-17T00:00:00"/>
    <n v="519307"/>
    <n v="499399.14"/>
    <n v="405"/>
    <n v="2024"/>
    <n v="1"/>
    <x v="0"/>
    <n v="3"/>
    <x v="0"/>
    <x v="2"/>
  </r>
  <r>
    <d v="2024-01-18T00:00:00"/>
    <n v="530188"/>
    <n v="505601.57"/>
    <n v="434"/>
    <n v="2024"/>
    <n v="1"/>
    <x v="0"/>
    <n v="4"/>
    <x v="0"/>
    <x v="3"/>
  </r>
  <r>
    <d v="2024-01-19T00:00:00"/>
    <n v="543010"/>
    <n v="510927.43"/>
    <n v="412"/>
    <n v="2024"/>
    <n v="1"/>
    <x v="0"/>
    <n v="5"/>
    <x v="0"/>
    <x v="4"/>
  </r>
  <r>
    <d v="2024-01-20T00:00:00"/>
    <n v="543009"/>
    <n v="512753.86"/>
    <n v="422"/>
    <n v="2024"/>
    <n v="1"/>
    <x v="0"/>
    <n v="6"/>
    <x v="1"/>
    <x v="5"/>
  </r>
  <r>
    <d v="2024-01-21T00:00:00"/>
    <n v="499322"/>
    <n v="512301"/>
    <n v="411"/>
    <n v="2024"/>
    <n v="1"/>
    <x v="0"/>
    <n v="7"/>
    <x v="1"/>
    <x v="6"/>
  </r>
  <r>
    <d v="2024-01-22T00:00:00"/>
    <n v="531620"/>
    <n v="520846.14"/>
    <n v="423"/>
    <n v="2024"/>
    <n v="1"/>
    <x v="0"/>
    <n v="1"/>
    <x v="0"/>
    <x v="0"/>
  </r>
  <r>
    <d v="2024-01-23T00:00:00"/>
    <n v="466429"/>
    <n v="518983.57"/>
    <n v="370"/>
    <n v="2024"/>
    <n v="1"/>
    <x v="0"/>
    <n v="2"/>
    <x v="0"/>
    <x v="1"/>
  </r>
  <r>
    <d v="2024-01-24T00:00:00"/>
    <n v="494994"/>
    <n v="515510.29"/>
    <n v="404"/>
    <n v="2024"/>
    <n v="1"/>
    <x v="0"/>
    <n v="3"/>
    <x v="0"/>
    <x v="2"/>
  </r>
  <r>
    <d v="2024-01-25T00:00:00"/>
    <n v="464755"/>
    <n v="506162.71"/>
    <n v="364"/>
    <n v="2024"/>
    <n v="1"/>
    <x v="0"/>
    <n v="4"/>
    <x v="0"/>
    <x v="3"/>
  </r>
  <r>
    <d v="2024-01-26T00:00:00"/>
    <n v="520620"/>
    <n v="502964.14"/>
    <n v="430"/>
    <n v="2024"/>
    <n v="1"/>
    <x v="0"/>
    <n v="5"/>
    <x v="0"/>
    <x v="4"/>
  </r>
  <r>
    <d v="2024-01-27T00:00:00"/>
    <n v="481563"/>
    <n v="494186.14"/>
    <n v="390"/>
    <n v="2024"/>
    <n v="1"/>
    <x v="0"/>
    <n v="6"/>
    <x v="1"/>
    <x v="5"/>
  </r>
  <r>
    <d v="2024-01-28T00:00:00"/>
    <n v="479707"/>
    <n v="491384"/>
    <n v="390"/>
    <n v="2024"/>
    <n v="1"/>
    <x v="0"/>
    <n v="7"/>
    <x v="1"/>
    <x v="6"/>
  </r>
  <r>
    <d v="2024-01-29T00:00:00"/>
    <n v="517620"/>
    <n v="489384"/>
    <n v="423"/>
    <n v="2024"/>
    <n v="1"/>
    <x v="0"/>
    <n v="1"/>
    <x v="0"/>
    <x v="0"/>
  </r>
  <r>
    <d v="2024-01-30T00:00:00"/>
    <n v="516855"/>
    <n v="496587.71"/>
    <n v="402"/>
    <n v="2024"/>
    <n v="1"/>
    <x v="0"/>
    <n v="2"/>
    <x v="0"/>
    <x v="1"/>
  </r>
  <r>
    <d v="2024-01-31T00:00:00"/>
    <n v="467220"/>
    <n v="492620"/>
    <n v="385"/>
    <n v="2024"/>
    <n v="1"/>
    <x v="0"/>
    <n v="3"/>
    <x v="0"/>
    <x v="2"/>
  </r>
  <r>
    <d v="2024-02-01T00:00:00"/>
    <n v="521493"/>
    <n v="500725.43"/>
    <n v="391"/>
    <n v="2024"/>
    <n v="2"/>
    <x v="1"/>
    <n v="4"/>
    <x v="0"/>
    <x v="3"/>
  </r>
  <r>
    <d v="2024-02-02T00:00:00"/>
    <n v="499920"/>
    <n v="497768.29"/>
    <n v="406"/>
    <n v="2024"/>
    <n v="2"/>
    <x v="1"/>
    <n v="5"/>
    <x v="0"/>
    <x v="4"/>
  </r>
  <r>
    <d v="2024-02-03T00:00:00"/>
    <n v="480591"/>
    <n v="497629.43"/>
    <n v="375"/>
    <n v="2024"/>
    <n v="2"/>
    <x v="1"/>
    <n v="6"/>
    <x v="1"/>
    <x v="5"/>
  </r>
  <r>
    <d v="2024-02-04T00:00:00"/>
    <n v="528003"/>
    <n v="504528.86"/>
    <n v="411"/>
    <n v="2024"/>
    <n v="2"/>
    <x v="1"/>
    <n v="7"/>
    <x v="1"/>
    <x v="6"/>
  </r>
  <r>
    <d v="2024-02-05T00:00:00"/>
    <n v="523667"/>
    <n v="505392.71"/>
    <n v="427"/>
    <n v="2024"/>
    <n v="2"/>
    <x v="1"/>
    <n v="1"/>
    <x v="0"/>
    <x v="0"/>
  </r>
  <r>
    <d v="2024-02-06T00:00:00"/>
    <n v="520129"/>
    <n v="505860.43"/>
    <n v="422"/>
    <n v="2024"/>
    <n v="2"/>
    <x v="1"/>
    <n v="2"/>
    <x v="0"/>
    <x v="1"/>
  </r>
  <r>
    <d v="2024-02-07T00:00:00"/>
    <n v="513464"/>
    <n v="512466.71"/>
    <n v="417"/>
    <n v="2024"/>
    <n v="2"/>
    <x v="1"/>
    <n v="3"/>
    <x v="0"/>
    <x v="2"/>
  </r>
  <r>
    <d v="2024-02-08T00:00:00"/>
    <n v="481854"/>
    <n v="506804"/>
    <n v="386"/>
    <n v="2024"/>
    <n v="2"/>
    <x v="1"/>
    <n v="4"/>
    <x v="0"/>
    <x v="3"/>
  </r>
  <r>
    <d v="2024-02-09T00:00:00"/>
    <n v="492720"/>
    <n v="505775.43"/>
    <n v="392"/>
    <n v="2024"/>
    <n v="2"/>
    <x v="1"/>
    <n v="5"/>
    <x v="0"/>
    <x v="4"/>
  </r>
  <r>
    <d v="2024-02-10T00:00:00"/>
    <n v="530166"/>
    <n v="512857.57"/>
    <n v="405"/>
    <n v="2024"/>
    <n v="2"/>
    <x v="1"/>
    <n v="6"/>
    <x v="1"/>
    <x v="5"/>
  </r>
  <r>
    <d v="2024-02-11T00:00:00"/>
    <n v="498177"/>
    <n v="508596.71"/>
    <n v="411"/>
    <n v="2024"/>
    <n v="2"/>
    <x v="1"/>
    <n v="7"/>
    <x v="1"/>
    <x v="6"/>
  </r>
  <r>
    <d v="2024-02-12T00:00:00"/>
    <n v="510902"/>
    <n v="506773.14"/>
    <n v="402"/>
    <n v="2024"/>
    <n v="2"/>
    <x v="1"/>
    <n v="1"/>
    <x v="0"/>
    <x v="0"/>
  </r>
  <r>
    <d v="2024-02-13T00:00:00"/>
    <n v="521509"/>
    <n v="506970.29"/>
    <n v="404"/>
    <n v="2024"/>
    <n v="2"/>
    <x v="1"/>
    <n v="2"/>
    <x v="0"/>
    <x v="1"/>
  </r>
  <r>
    <d v="2024-02-14T00:00:00"/>
    <n v="497664"/>
    <n v="504713.14"/>
    <n v="404"/>
    <n v="2024"/>
    <n v="2"/>
    <x v="1"/>
    <n v="3"/>
    <x v="0"/>
    <x v="2"/>
  </r>
  <r>
    <d v="2024-02-15T00:00:00"/>
    <n v="462085"/>
    <n v="501889"/>
    <n v="389"/>
    <n v="2024"/>
    <n v="2"/>
    <x v="1"/>
    <n v="4"/>
    <x v="0"/>
    <x v="3"/>
  </r>
  <r>
    <d v="2024-02-16T00:00:00"/>
    <n v="475826"/>
    <n v="499475.57"/>
    <n v="398"/>
    <n v="2024"/>
    <n v="2"/>
    <x v="1"/>
    <n v="5"/>
    <x v="0"/>
    <x v="4"/>
  </r>
  <r>
    <d v="2024-02-17T00:00:00"/>
    <n v="526083"/>
    <n v="498892.29"/>
    <n v="414"/>
    <n v="2024"/>
    <n v="2"/>
    <x v="1"/>
    <n v="6"/>
    <x v="1"/>
    <x v="5"/>
  </r>
  <r>
    <d v="2024-02-18T00:00:00"/>
    <n v="524782"/>
    <n v="502693"/>
    <n v="422"/>
    <n v="2024"/>
    <n v="2"/>
    <x v="1"/>
    <n v="7"/>
    <x v="1"/>
    <x v="6"/>
  </r>
  <r>
    <d v="2024-02-19T00:00:00"/>
    <n v="553204"/>
    <n v="508736.14"/>
    <n v="441"/>
    <n v="2024"/>
    <n v="2"/>
    <x v="1"/>
    <n v="1"/>
    <x v="0"/>
    <x v="0"/>
  </r>
  <r>
    <d v="2024-02-20T00:00:00"/>
    <n v="502850"/>
    <n v="506070.57"/>
    <n v="400"/>
    <n v="2024"/>
    <n v="2"/>
    <x v="1"/>
    <n v="2"/>
    <x v="0"/>
    <x v="1"/>
  </r>
  <r>
    <d v="2024-02-21T00:00:00"/>
    <n v="499729"/>
    <n v="506365.57"/>
    <n v="413"/>
    <n v="2024"/>
    <n v="2"/>
    <x v="1"/>
    <n v="3"/>
    <x v="0"/>
    <x v="2"/>
  </r>
  <r>
    <d v="2024-02-22T00:00:00"/>
    <n v="534870"/>
    <n v="516763.43"/>
    <n v="419"/>
    <n v="2024"/>
    <n v="2"/>
    <x v="1"/>
    <n v="4"/>
    <x v="0"/>
    <x v="3"/>
  </r>
  <r>
    <d v="2024-02-23T00:00:00"/>
    <n v="475392"/>
    <n v="516701.43"/>
    <n v="384"/>
    <n v="2024"/>
    <n v="2"/>
    <x v="1"/>
    <n v="5"/>
    <x v="0"/>
    <x v="4"/>
  </r>
  <r>
    <d v="2024-02-24T00:00:00"/>
    <n v="463365"/>
    <n v="507741.71"/>
    <n v="383"/>
    <n v="2024"/>
    <n v="2"/>
    <x v="1"/>
    <n v="6"/>
    <x v="1"/>
    <x v="5"/>
  </r>
  <r>
    <d v="2024-02-25T00:00:00"/>
    <n v="511659"/>
    <n v="505867"/>
    <n v="421"/>
    <n v="2024"/>
    <n v="2"/>
    <x v="1"/>
    <n v="7"/>
    <x v="1"/>
    <x v="6"/>
  </r>
  <r>
    <d v="2024-02-26T00:00:00"/>
    <n v="479534"/>
    <n v="495342.71"/>
    <n v="401"/>
    <n v="2024"/>
    <n v="2"/>
    <x v="1"/>
    <n v="1"/>
    <x v="0"/>
    <x v="0"/>
  </r>
  <r>
    <d v="2024-02-27T00:00:00"/>
    <n v="519220"/>
    <n v="497681.29"/>
    <n v="404"/>
    <n v="2024"/>
    <n v="2"/>
    <x v="1"/>
    <n v="2"/>
    <x v="0"/>
    <x v="1"/>
  </r>
  <r>
    <d v="2024-02-28T00:00:00"/>
    <n v="546753"/>
    <n v="504399"/>
    <n v="440"/>
    <n v="2024"/>
    <n v="2"/>
    <x v="1"/>
    <n v="3"/>
    <x v="0"/>
    <x v="2"/>
  </r>
  <r>
    <d v="2024-02-29T00:00:00"/>
    <n v="541282"/>
    <n v="505315"/>
    <n v="431"/>
    <n v="2024"/>
    <n v="2"/>
    <x v="1"/>
    <n v="4"/>
    <x v="0"/>
    <x v="3"/>
  </r>
  <r>
    <d v="2024-03-01T00:00:00"/>
    <n v="490931"/>
    <n v="507534.86"/>
    <n v="396"/>
    <n v="2024"/>
    <n v="3"/>
    <x v="2"/>
    <n v="5"/>
    <x v="0"/>
    <x v="4"/>
  </r>
  <r>
    <d v="2024-03-02T00:00:00"/>
    <n v="501415"/>
    <n v="512970.57"/>
    <n v="413"/>
    <n v="2024"/>
    <n v="3"/>
    <x v="2"/>
    <n v="6"/>
    <x v="1"/>
    <x v="5"/>
  </r>
  <r>
    <d v="2024-03-03T00:00:00"/>
    <n v="453685"/>
    <n v="504688.57"/>
    <n v="369"/>
    <n v="2024"/>
    <n v="3"/>
    <x v="2"/>
    <n v="7"/>
    <x v="1"/>
    <x v="6"/>
  </r>
  <r>
    <d v="2024-03-04T00:00:00"/>
    <n v="499094"/>
    <n v="507482.86"/>
    <n v="403"/>
    <n v="2024"/>
    <n v="3"/>
    <x v="2"/>
    <n v="1"/>
    <x v="0"/>
    <x v="0"/>
  </r>
  <r>
    <d v="2024-03-05T00:00:00"/>
    <n v="498391"/>
    <n v="504507.29"/>
    <n v="405"/>
    <n v="2024"/>
    <n v="3"/>
    <x v="2"/>
    <n v="2"/>
    <x v="0"/>
    <x v="1"/>
  </r>
  <r>
    <d v="2024-03-06T00:00:00"/>
    <n v="466830"/>
    <n v="493089.71"/>
    <n v="375"/>
    <n v="2024"/>
    <n v="3"/>
    <x v="2"/>
    <n v="3"/>
    <x v="0"/>
    <x v="2"/>
  </r>
  <r>
    <d v="2024-03-07T00:00:00"/>
    <n v="504425"/>
    <n v="487824.43"/>
    <n v="418"/>
    <n v="2024"/>
    <n v="3"/>
    <x v="2"/>
    <n v="4"/>
    <x v="0"/>
    <x v="3"/>
  </r>
  <r>
    <d v="2024-03-08T00:00:00"/>
    <n v="525959"/>
    <n v="492828.43"/>
    <n v="435"/>
    <n v="2024"/>
    <n v="3"/>
    <x v="2"/>
    <n v="5"/>
    <x v="0"/>
    <x v="4"/>
  </r>
  <r>
    <d v="2024-03-09T00:00:00"/>
    <n v="491640"/>
    <n v="491432"/>
    <n v="393"/>
    <n v="2024"/>
    <n v="3"/>
    <x v="2"/>
    <n v="6"/>
    <x v="1"/>
    <x v="5"/>
  </r>
  <r>
    <d v="2024-03-10T00:00:00"/>
    <n v="548413"/>
    <n v="504964.57"/>
    <n v="442"/>
    <n v="2024"/>
    <n v="3"/>
    <x v="2"/>
    <n v="7"/>
    <x v="1"/>
    <x v="6"/>
  </r>
  <r>
    <d v="2024-03-11T00:00:00"/>
    <n v="470432"/>
    <n v="500870"/>
    <n v="380"/>
    <n v="2024"/>
    <n v="3"/>
    <x v="2"/>
    <n v="1"/>
    <x v="0"/>
    <x v="0"/>
  </r>
  <r>
    <d v="2024-03-12T00:00:00"/>
    <n v="564796"/>
    <n v="510356.43"/>
    <n v="447"/>
    <n v="2024"/>
    <n v="3"/>
    <x v="2"/>
    <n v="2"/>
    <x v="0"/>
    <x v="1"/>
  </r>
  <r>
    <d v="2024-03-13T00:00:00"/>
    <n v="509588"/>
    <n v="516464.71"/>
    <n v="399"/>
    <n v="2024"/>
    <n v="3"/>
    <x v="2"/>
    <n v="3"/>
    <x v="0"/>
    <x v="2"/>
  </r>
  <r>
    <d v="2024-03-14T00:00:00"/>
    <n v="542049"/>
    <n v="521839.57"/>
    <n v="423"/>
    <n v="2024"/>
    <n v="3"/>
    <x v="2"/>
    <n v="4"/>
    <x v="0"/>
    <x v="3"/>
  </r>
  <r>
    <d v="2024-03-15T00:00:00"/>
    <n v="470250"/>
    <n v="513881.14"/>
    <n v="403"/>
    <n v="2024"/>
    <n v="3"/>
    <x v="2"/>
    <n v="5"/>
    <x v="0"/>
    <x v="4"/>
  </r>
  <r>
    <d v="2024-03-16T00:00:00"/>
    <n v="540809"/>
    <n v="520905.29"/>
    <n v="425"/>
    <n v="2024"/>
    <n v="3"/>
    <x v="2"/>
    <n v="6"/>
    <x v="1"/>
    <x v="5"/>
  </r>
  <r>
    <d v="2024-03-17T00:00:00"/>
    <n v="469407"/>
    <n v="509618.71"/>
    <n v="377"/>
    <n v="2024"/>
    <n v="3"/>
    <x v="2"/>
    <n v="7"/>
    <x v="1"/>
    <x v="6"/>
  </r>
  <r>
    <d v="2024-03-18T00:00:00"/>
    <n v="509384"/>
    <n v="515183.29"/>
    <n v="408"/>
    <n v="2024"/>
    <n v="3"/>
    <x v="2"/>
    <n v="1"/>
    <x v="0"/>
    <x v="0"/>
  </r>
  <r>
    <d v="2024-03-19T00:00:00"/>
    <n v="506553"/>
    <n v="506862.86"/>
    <n v="405"/>
    <n v="2024"/>
    <n v="3"/>
    <x v="2"/>
    <n v="2"/>
    <x v="0"/>
    <x v="1"/>
  </r>
  <r>
    <d v="2024-03-20T00:00:00"/>
    <n v="459561"/>
    <n v="499716.14"/>
    <n v="388"/>
    <n v="2024"/>
    <n v="3"/>
    <x v="2"/>
    <n v="3"/>
    <x v="0"/>
    <x v="2"/>
  </r>
  <r>
    <d v="2024-03-21T00:00:00"/>
    <n v="507146"/>
    <n v="494730"/>
    <n v="414"/>
    <n v="2024"/>
    <n v="3"/>
    <x v="2"/>
    <n v="4"/>
    <x v="0"/>
    <x v="3"/>
  </r>
  <r>
    <d v="2024-03-22T00:00:00"/>
    <n v="579227"/>
    <n v="510298.14"/>
    <n v="446"/>
    <n v="2024"/>
    <n v="3"/>
    <x v="2"/>
    <n v="5"/>
    <x v="0"/>
    <x v="4"/>
  </r>
  <r>
    <d v="2024-03-23T00:00:00"/>
    <n v="550761"/>
    <n v="511719.86"/>
    <n v="426"/>
    <n v="2024"/>
    <n v="3"/>
    <x v="2"/>
    <n v="6"/>
    <x v="1"/>
    <x v="5"/>
  </r>
  <r>
    <d v="2024-03-24T00:00:00"/>
    <n v="547733"/>
    <n v="522909.29"/>
    <n v="426"/>
    <n v="2024"/>
    <n v="3"/>
    <x v="2"/>
    <n v="7"/>
    <x v="1"/>
    <x v="6"/>
  </r>
  <r>
    <d v="2024-03-25T00:00:00"/>
    <n v="486041"/>
    <n v="519574.57"/>
    <n v="382"/>
    <n v="2024"/>
    <n v="3"/>
    <x v="2"/>
    <n v="1"/>
    <x v="0"/>
    <x v="0"/>
  </r>
  <r>
    <d v="2024-03-26T00:00:00"/>
    <n v="523922"/>
    <n v="522055.86"/>
    <n v="430"/>
    <n v="2024"/>
    <n v="3"/>
    <x v="2"/>
    <n v="2"/>
    <x v="0"/>
    <x v="1"/>
  </r>
  <r>
    <d v="2024-03-27T00:00:00"/>
    <n v="551505"/>
    <n v="535190.71"/>
    <n v="434"/>
    <n v="2024"/>
    <n v="3"/>
    <x v="2"/>
    <n v="3"/>
    <x v="0"/>
    <x v="2"/>
  </r>
  <r>
    <d v="2024-03-28T00:00:00"/>
    <n v="481497"/>
    <n v="531526.56999999995"/>
    <n v="389"/>
    <n v="2024"/>
    <n v="3"/>
    <x v="2"/>
    <n v="4"/>
    <x v="0"/>
    <x v="3"/>
  </r>
  <r>
    <d v="2024-03-29T00:00:00"/>
    <n v="480045"/>
    <n v="517357.71"/>
    <n v="397"/>
    <n v="2024"/>
    <n v="3"/>
    <x v="2"/>
    <n v="5"/>
    <x v="0"/>
    <x v="4"/>
  </r>
  <r>
    <d v="2024-03-30T00:00:00"/>
    <n v="608531"/>
    <n v="525610.56999999995"/>
    <n v="478"/>
    <n v="2024"/>
    <n v="3"/>
    <x v="2"/>
    <n v="6"/>
    <x v="1"/>
    <x v="5"/>
  </r>
  <r>
    <d v="2024-03-31T00:00:00"/>
    <n v="485108"/>
    <n v="516664.14"/>
    <n v="382"/>
    <n v="2024"/>
    <n v="3"/>
    <x v="2"/>
    <n v="7"/>
    <x v="1"/>
    <x v="6"/>
  </r>
  <r>
    <d v="2024-04-01T00:00:00"/>
    <n v="497536"/>
    <n v="518306.29"/>
    <n v="401"/>
    <n v="2024"/>
    <n v="4"/>
    <x v="3"/>
    <n v="1"/>
    <x v="0"/>
    <x v="0"/>
  </r>
  <r>
    <d v="2024-04-02T00:00:00"/>
    <n v="491170"/>
    <n v="513627.43"/>
    <n v="400"/>
    <n v="2024"/>
    <n v="4"/>
    <x v="3"/>
    <n v="2"/>
    <x v="0"/>
    <x v="1"/>
  </r>
  <r>
    <d v="2024-04-03T00:00:00"/>
    <n v="528897"/>
    <n v="510397.71"/>
    <n v="413"/>
    <n v="2024"/>
    <n v="4"/>
    <x v="3"/>
    <n v="3"/>
    <x v="0"/>
    <x v="2"/>
  </r>
  <r>
    <d v="2024-04-04T00:00:00"/>
    <n v="472512"/>
    <n v="509114.14"/>
    <n v="390"/>
    <n v="2024"/>
    <n v="4"/>
    <x v="3"/>
    <n v="4"/>
    <x v="0"/>
    <x v="3"/>
  </r>
  <r>
    <d v="2024-04-05T00:00:00"/>
    <n v="508963"/>
    <n v="513245.29"/>
    <n v="415"/>
    <n v="2024"/>
    <n v="4"/>
    <x v="3"/>
    <n v="5"/>
    <x v="0"/>
    <x v="4"/>
  </r>
  <r>
    <d v="2024-04-06T00:00:00"/>
    <n v="502788"/>
    <n v="498139.14"/>
    <n v="395"/>
    <n v="2024"/>
    <n v="4"/>
    <x v="3"/>
    <n v="6"/>
    <x v="1"/>
    <x v="5"/>
  </r>
  <r>
    <d v="2024-04-07T00:00:00"/>
    <n v="524517"/>
    <n v="503769"/>
    <n v="438"/>
    <n v="2024"/>
    <n v="4"/>
    <x v="3"/>
    <n v="7"/>
    <x v="1"/>
    <x v="6"/>
  </r>
  <r>
    <d v="2024-04-08T00:00:00"/>
    <n v="508077"/>
    <n v="505274.86"/>
    <n v="396"/>
    <n v="2024"/>
    <n v="4"/>
    <x v="3"/>
    <n v="1"/>
    <x v="0"/>
    <x v="0"/>
  </r>
  <r>
    <d v="2024-04-09T00:00:00"/>
    <n v="512829"/>
    <n v="508369"/>
    <n v="405"/>
    <n v="2024"/>
    <n v="4"/>
    <x v="3"/>
    <n v="2"/>
    <x v="0"/>
    <x v="1"/>
  </r>
  <r>
    <d v="2024-04-10T00:00:00"/>
    <n v="488157"/>
    <n v="502549"/>
    <n v="385"/>
    <n v="2024"/>
    <n v="4"/>
    <x v="3"/>
    <n v="3"/>
    <x v="0"/>
    <x v="2"/>
  </r>
  <r>
    <d v="2024-04-11T00:00:00"/>
    <n v="502808"/>
    <n v="506877"/>
    <n v="381"/>
    <n v="2024"/>
    <n v="4"/>
    <x v="3"/>
    <n v="4"/>
    <x v="0"/>
    <x v="3"/>
  </r>
  <r>
    <d v="2024-04-12T00:00:00"/>
    <n v="549560"/>
    <n v="512676.57"/>
    <n v="436"/>
    <n v="2024"/>
    <n v="4"/>
    <x v="3"/>
    <n v="5"/>
    <x v="0"/>
    <x v="4"/>
  </r>
  <r>
    <d v="2024-04-13T00:00:00"/>
    <n v="487127"/>
    <n v="510439.29"/>
    <n v="373"/>
    <n v="2024"/>
    <n v="4"/>
    <x v="3"/>
    <n v="6"/>
    <x v="1"/>
    <x v="5"/>
  </r>
  <r>
    <d v="2024-04-14T00:00:00"/>
    <n v="553248"/>
    <n v="514543.71"/>
    <n v="439"/>
    <n v="2024"/>
    <n v="4"/>
    <x v="3"/>
    <n v="7"/>
    <x v="1"/>
    <x v="6"/>
  </r>
  <r>
    <d v="2024-04-15T00:00:00"/>
    <n v="527535"/>
    <n v="517323.43"/>
    <n v="411"/>
    <n v="2024"/>
    <n v="4"/>
    <x v="3"/>
    <n v="1"/>
    <x v="0"/>
    <x v="0"/>
  </r>
  <r>
    <d v="2024-04-16T00:00:00"/>
    <n v="537035"/>
    <n v="520781.43"/>
    <n v="403"/>
    <n v="2024"/>
    <n v="4"/>
    <x v="3"/>
    <n v="2"/>
    <x v="0"/>
    <x v="1"/>
  </r>
  <r>
    <d v="2024-04-17T00:00:00"/>
    <n v="495624"/>
    <n v="521848.14"/>
    <n v="416"/>
    <n v="2024"/>
    <n v="4"/>
    <x v="3"/>
    <n v="3"/>
    <x v="0"/>
    <x v="2"/>
  </r>
  <r>
    <d v="2024-04-18T00:00:00"/>
    <n v="503690"/>
    <n v="521974.14"/>
    <n v="403"/>
    <n v="2024"/>
    <n v="4"/>
    <x v="3"/>
    <n v="4"/>
    <x v="0"/>
    <x v="3"/>
  </r>
  <r>
    <d v="2024-04-19T00:00:00"/>
    <n v="500241"/>
    <n v="514928.57"/>
    <n v="400"/>
    <n v="2024"/>
    <n v="4"/>
    <x v="3"/>
    <n v="5"/>
    <x v="0"/>
    <x v="4"/>
  </r>
  <r>
    <d v="2024-04-20T00:00:00"/>
    <n v="524462"/>
    <n v="520262.14"/>
    <n v="430"/>
    <n v="2024"/>
    <n v="4"/>
    <x v="3"/>
    <n v="6"/>
    <x v="1"/>
    <x v="5"/>
  </r>
  <r>
    <d v="2024-04-21T00:00:00"/>
    <n v="514868"/>
    <n v="514779.29"/>
    <n v="413"/>
    <n v="2024"/>
    <n v="4"/>
    <x v="3"/>
    <n v="7"/>
    <x v="1"/>
    <x v="6"/>
  </r>
  <r>
    <d v="2024-04-22T00:00:00"/>
    <n v="511880"/>
    <n v="512542.86"/>
    <n v="412"/>
    <n v="2024"/>
    <n v="4"/>
    <x v="3"/>
    <n v="1"/>
    <x v="0"/>
    <x v="0"/>
  </r>
  <r>
    <d v="2024-04-23T00:00:00"/>
    <n v="544858"/>
    <n v="513660.43"/>
    <n v="425"/>
    <n v="2024"/>
    <n v="4"/>
    <x v="3"/>
    <n v="2"/>
    <x v="0"/>
    <x v="1"/>
  </r>
  <r>
    <d v="2024-04-24T00:00:00"/>
    <n v="495896"/>
    <n v="513699.29"/>
    <n v="397"/>
    <n v="2024"/>
    <n v="4"/>
    <x v="3"/>
    <n v="3"/>
    <x v="0"/>
    <x v="2"/>
  </r>
  <r>
    <d v="2024-04-25T00:00:00"/>
    <n v="518207"/>
    <n v="515773.14"/>
    <n v="407"/>
    <n v="2024"/>
    <n v="4"/>
    <x v="3"/>
    <n v="4"/>
    <x v="0"/>
    <x v="3"/>
  </r>
  <r>
    <d v="2024-04-26T00:00:00"/>
    <n v="512082"/>
    <n v="517464.71"/>
    <n v="397"/>
    <n v="2024"/>
    <n v="4"/>
    <x v="3"/>
    <n v="5"/>
    <x v="0"/>
    <x v="4"/>
  </r>
  <r>
    <d v="2024-04-27T00:00:00"/>
    <n v="500545"/>
    <n v="514048"/>
    <n v="411"/>
    <n v="2024"/>
    <n v="4"/>
    <x v="3"/>
    <n v="6"/>
    <x v="1"/>
    <x v="5"/>
  </r>
  <r>
    <d v="2024-04-28T00:00:00"/>
    <n v="439440"/>
    <n v="503272.57"/>
    <n v="364"/>
    <n v="2024"/>
    <n v="4"/>
    <x v="3"/>
    <n v="7"/>
    <x v="1"/>
    <x v="6"/>
  </r>
  <r>
    <d v="2024-04-29T00:00:00"/>
    <n v="527678"/>
    <n v="505529.43"/>
    <n v="412"/>
    <n v="2024"/>
    <n v="4"/>
    <x v="3"/>
    <n v="1"/>
    <x v="0"/>
    <x v="0"/>
  </r>
  <r>
    <d v="2024-04-30T00:00:00"/>
    <n v="480206"/>
    <n v="496293.43"/>
    <n v="384"/>
    <n v="2024"/>
    <n v="4"/>
    <x v="3"/>
    <n v="2"/>
    <x v="0"/>
    <x v="1"/>
  </r>
  <r>
    <d v="2024-05-01T00:00:00"/>
    <n v="482155"/>
    <n v="494330.43"/>
    <n v="392"/>
    <n v="2024"/>
    <n v="5"/>
    <x v="4"/>
    <n v="3"/>
    <x v="0"/>
    <x v="2"/>
  </r>
  <r>
    <d v="2024-05-02T00:00:00"/>
    <n v="572240"/>
    <n v="502049.43"/>
    <n v="458"/>
    <n v="2024"/>
    <n v="5"/>
    <x v="4"/>
    <n v="4"/>
    <x v="0"/>
    <x v="3"/>
  </r>
  <r>
    <d v="2024-05-03T00:00:00"/>
    <n v="481242"/>
    <n v="497643.71"/>
    <n v="398"/>
    <n v="2024"/>
    <n v="5"/>
    <x v="4"/>
    <n v="5"/>
    <x v="0"/>
    <x v="4"/>
  </r>
  <r>
    <d v="2024-05-04T00:00:00"/>
    <n v="526886"/>
    <n v="501406.71"/>
    <n v="414"/>
    <n v="2024"/>
    <n v="5"/>
    <x v="4"/>
    <n v="6"/>
    <x v="1"/>
    <x v="5"/>
  </r>
  <r>
    <d v="2024-05-05T00:00:00"/>
    <n v="497815"/>
    <n v="509746"/>
    <n v="402"/>
    <n v="2024"/>
    <n v="5"/>
    <x v="4"/>
    <n v="7"/>
    <x v="1"/>
    <x v="6"/>
  </r>
  <r>
    <d v="2024-05-06T00:00:00"/>
    <n v="496483"/>
    <n v="505289.57"/>
    <n v="390"/>
    <n v="2024"/>
    <n v="5"/>
    <x v="4"/>
    <n v="1"/>
    <x v="0"/>
    <x v="0"/>
  </r>
  <r>
    <d v="2024-05-07T00:00:00"/>
    <n v="502071"/>
    <n v="508413.14"/>
    <n v="412"/>
    <n v="2024"/>
    <n v="5"/>
    <x v="4"/>
    <n v="2"/>
    <x v="0"/>
    <x v="1"/>
  </r>
  <r>
    <d v="2024-05-08T00:00:00"/>
    <n v="442951"/>
    <n v="502812.57"/>
    <n v="371"/>
    <n v="2024"/>
    <n v="5"/>
    <x v="4"/>
    <n v="3"/>
    <x v="0"/>
    <x v="2"/>
  </r>
  <r>
    <d v="2024-05-09T00:00:00"/>
    <n v="515542"/>
    <n v="494712.86"/>
    <n v="409"/>
    <n v="2024"/>
    <n v="5"/>
    <x v="4"/>
    <n v="4"/>
    <x v="0"/>
    <x v="3"/>
  </r>
  <r>
    <d v="2024-05-10T00:00:00"/>
    <n v="530366"/>
    <n v="501730.57"/>
    <n v="435"/>
    <n v="2024"/>
    <n v="5"/>
    <x v="4"/>
    <n v="5"/>
    <x v="0"/>
    <x v="4"/>
  </r>
  <r>
    <d v="2024-05-11T00:00:00"/>
    <n v="503772"/>
    <n v="498428.57"/>
    <n v="412"/>
    <n v="2024"/>
    <n v="5"/>
    <x v="4"/>
    <n v="6"/>
    <x v="1"/>
    <x v="5"/>
  </r>
  <r>
    <d v="2024-05-12T00:00:00"/>
    <n v="492072"/>
    <n v="497608.14"/>
    <n v="382"/>
    <n v="2024"/>
    <n v="5"/>
    <x v="4"/>
    <n v="7"/>
    <x v="1"/>
    <x v="6"/>
  </r>
  <r>
    <d v="2024-05-13T00:00:00"/>
    <n v="566880"/>
    <n v="507664.86"/>
    <n v="446"/>
    <n v="2024"/>
    <n v="5"/>
    <x v="4"/>
    <n v="1"/>
    <x v="0"/>
    <x v="0"/>
  </r>
  <r>
    <d v="2024-05-14T00:00:00"/>
    <n v="536061"/>
    <n v="512520.57"/>
    <n v="432"/>
    <n v="2024"/>
    <n v="5"/>
    <x v="4"/>
    <n v="2"/>
    <x v="0"/>
    <x v="1"/>
  </r>
  <r>
    <d v="2024-05-15T00:00:00"/>
    <n v="547033"/>
    <n v="527389.43000000005"/>
    <n v="417"/>
    <n v="2024"/>
    <n v="5"/>
    <x v="4"/>
    <n v="3"/>
    <x v="0"/>
    <x v="2"/>
  </r>
  <r>
    <d v="2024-05-16T00:00:00"/>
    <n v="547468"/>
    <n v="531950.29"/>
    <n v="439"/>
    <n v="2024"/>
    <n v="5"/>
    <x v="4"/>
    <n v="4"/>
    <x v="0"/>
    <x v="3"/>
  </r>
  <r>
    <d v="2024-05-17T00:00:00"/>
    <n v="517536"/>
    <n v="530117.43000000005"/>
    <n v="435"/>
    <n v="2024"/>
    <n v="5"/>
    <x v="4"/>
    <n v="5"/>
    <x v="0"/>
    <x v="4"/>
  </r>
  <r>
    <d v="2024-05-18T00:00:00"/>
    <n v="491655"/>
    <n v="528386.43000000005"/>
    <n v="391"/>
    <n v="2024"/>
    <n v="5"/>
    <x v="4"/>
    <n v="6"/>
    <x v="1"/>
    <x v="5"/>
  </r>
  <r>
    <d v="2024-05-19T00:00:00"/>
    <n v="474581"/>
    <n v="525887.71"/>
    <n v="398"/>
    <n v="2024"/>
    <n v="5"/>
    <x v="4"/>
    <n v="7"/>
    <x v="1"/>
    <x v="6"/>
  </r>
  <r>
    <d v="2024-05-20T00:00:00"/>
    <n v="522608"/>
    <n v="519563.14"/>
    <n v="428"/>
    <n v="2024"/>
    <n v="5"/>
    <x v="4"/>
    <n v="1"/>
    <x v="0"/>
    <x v="0"/>
  </r>
  <r>
    <d v="2024-05-21T00:00:00"/>
    <n v="517148"/>
    <n v="516861.29"/>
    <n v="423"/>
    <n v="2024"/>
    <n v="5"/>
    <x v="4"/>
    <n v="2"/>
    <x v="0"/>
    <x v="1"/>
  </r>
  <r>
    <d v="2024-05-22T00:00:00"/>
    <n v="471227"/>
    <n v="506031.86"/>
    <n v="381"/>
    <n v="2024"/>
    <n v="5"/>
    <x v="4"/>
    <n v="3"/>
    <x v="0"/>
    <x v="2"/>
  </r>
  <r>
    <d v="2024-05-23T00:00:00"/>
    <n v="505558"/>
    <n v="500044.71"/>
    <n v="418"/>
    <n v="2024"/>
    <n v="5"/>
    <x v="4"/>
    <n v="4"/>
    <x v="0"/>
    <x v="3"/>
  </r>
  <r>
    <d v="2024-05-24T00:00:00"/>
    <n v="468901"/>
    <n v="493096.86"/>
    <n v="391"/>
    <n v="2024"/>
    <n v="5"/>
    <x v="4"/>
    <n v="5"/>
    <x v="0"/>
    <x v="4"/>
  </r>
  <r>
    <d v="2024-05-25T00:00:00"/>
    <n v="440138"/>
    <n v="485737.29"/>
    <n v="377"/>
    <n v="2024"/>
    <n v="5"/>
    <x v="4"/>
    <n v="6"/>
    <x v="1"/>
    <x v="5"/>
  </r>
  <r>
    <d v="2024-05-26T00:00:00"/>
    <n v="499145"/>
    <n v="489246.43"/>
    <n v="399"/>
    <n v="2024"/>
    <n v="5"/>
    <x v="4"/>
    <n v="7"/>
    <x v="1"/>
    <x v="6"/>
  </r>
  <r>
    <d v="2024-05-27T00:00:00"/>
    <n v="487657"/>
    <n v="484253.43"/>
    <n v="378"/>
    <n v="2024"/>
    <n v="5"/>
    <x v="4"/>
    <n v="1"/>
    <x v="0"/>
    <x v="0"/>
  </r>
  <r>
    <d v="2024-05-28T00:00:00"/>
    <n v="521366"/>
    <n v="484856"/>
    <n v="423"/>
    <n v="2024"/>
    <n v="5"/>
    <x v="4"/>
    <n v="2"/>
    <x v="0"/>
    <x v="1"/>
  </r>
  <r>
    <d v="2024-05-29T00:00:00"/>
    <n v="498206"/>
    <n v="488710.14"/>
    <n v="406"/>
    <n v="2024"/>
    <n v="5"/>
    <x v="4"/>
    <n v="3"/>
    <x v="0"/>
    <x v="2"/>
  </r>
  <r>
    <d v="2024-05-30T00:00:00"/>
    <n v="558927"/>
    <n v="496334.29"/>
    <n v="446"/>
    <n v="2024"/>
    <n v="5"/>
    <x v="4"/>
    <n v="4"/>
    <x v="0"/>
    <x v="3"/>
  </r>
  <r>
    <d v="2024-05-31T00:00:00"/>
    <n v="510497"/>
    <n v="502276.57"/>
    <n v="402"/>
    <n v="2024"/>
    <n v="5"/>
    <x v="4"/>
    <n v="5"/>
    <x v="0"/>
    <x v="4"/>
  </r>
  <r>
    <d v="2024-06-01T00:00:00"/>
    <n v="499050"/>
    <n v="510692.57"/>
    <n v="409"/>
    <n v="2024"/>
    <n v="6"/>
    <x v="5"/>
    <n v="6"/>
    <x v="1"/>
    <x v="5"/>
  </r>
  <r>
    <d v="2024-06-02T00:00:00"/>
    <n v="498688"/>
    <n v="510627.29"/>
    <n v="409"/>
    <n v="2024"/>
    <n v="6"/>
    <x v="5"/>
    <n v="7"/>
    <x v="1"/>
    <x v="6"/>
  </r>
  <r>
    <d v="2024-06-03T00:00:00"/>
    <n v="476779"/>
    <n v="509073.29"/>
    <n v="375"/>
    <n v="2024"/>
    <n v="6"/>
    <x v="5"/>
    <n v="1"/>
    <x v="0"/>
    <x v="0"/>
  </r>
  <r>
    <d v="2024-06-04T00:00:00"/>
    <n v="530771"/>
    <n v="510416.86"/>
    <n v="425"/>
    <n v="2024"/>
    <n v="6"/>
    <x v="5"/>
    <n v="2"/>
    <x v="0"/>
    <x v="1"/>
  </r>
  <r>
    <d v="2024-06-05T00:00:00"/>
    <n v="472949"/>
    <n v="506808.71"/>
    <n v="376"/>
    <n v="2024"/>
    <n v="6"/>
    <x v="5"/>
    <n v="3"/>
    <x v="0"/>
    <x v="2"/>
  </r>
  <r>
    <d v="2024-06-06T00:00:00"/>
    <n v="524844"/>
    <n v="501939.71"/>
    <n v="403"/>
    <n v="2024"/>
    <n v="6"/>
    <x v="5"/>
    <n v="4"/>
    <x v="0"/>
    <x v="3"/>
  </r>
  <r>
    <d v="2024-06-07T00:00:00"/>
    <n v="428780"/>
    <n v="490265.86"/>
    <n v="370"/>
    <n v="2024"/>
    <n v="6"/>
    <x v="5"/>
    <n v="5"/>
    <x v="0"/>
    <x v="4"/>
  </r>
  <r>
    <d v="2024-06-08T00:00:00"/>
    <n v="538741"/>
    <n v="495936"/>
    <n v="413"/>
    <n v="2024"/>
    <n v="6"/>
    <x v="5"/>
    <n v="6"/>
    <x v="1"/>
    <x v="5"/>
  </r>
  <r>
    <d v="2024-06-09T00:00:00"/>
    <n v="512543"/>
    <n v="497915.29"/>
    <n v="412"/>
    <n v="2024"/>
    <n v="6"/>
    <x v="5"/>
    <n v="7"/>
    <x v="1"/>
    <x v="6"/>
  </r>
  <r>
    <d v="2024-06-10T00:00:00"/>
    <n v="512300"/>
    <n v="502989.71"/>
    <n v="402"/>
    <n v="2024"/>
    <n v="6"/>
    <x v="5"/>
    <n v="1"/>
    <x v="0"/>
    <x v="0"/>
  </r>
  <r>
    <d v="2024-06-11T00:00:00"/>
    <n v="513849"/>
    <n v="500572.29"/>
    <n v="410"/>
    <n v="2024"/>
    <n v="6"/>
    <x v="5"/>
    <n v="2"/>
    <x v="0"/>
    <x v="1"/>
  </r>
  <r>
    <d v="2024-06-12T00:00:00"/>
    <n v="560079"/>
    <n v="513019.43"/>
    <n v="435"/>
    <n v="2024"/>
    <n v="6"/>
    <x v="5"/>
    <n v="3"/>
    <x v="0"/>
    <x v="2"/>
  </r>
  <r>
    <d v="2024-06-13T00:00:00"/>
    <n v="501022"/>
    <n v="509616.29"/>
    <n v="422"/>
    <n v="2024"/>
    <n v="6"/>
    <x v="5"/>
    <n v="4"/>
    <x v="0"/>
    <x v="3"/>
  </r>
  <r>
    <d v="2024-06-14T00:00:00"/>
    <n v="536878"/>
    <n v="525058.86"/>
    <n v="436"/>
    <n v="2024"/>
    <n v="6"/>
    <x v="5"/>
    <n v="5"/>
    <x v="0"/>
    <x v="4"/>
  </r>
  <r>
    <d v="2024-06-15T00:00:00"/>
    <n v="468453"/>
    <n v="515017.71"/>
    <n v="378"/>
    <n v="2024"/>
    <n v="6"/>
    <x v="5"/>
    <n v="6"/>
    <x v="1"/>
    <x v="5"/>
  </r>
  <r>
    <d v="2024-06-16T00:00:00"/>
    <n v="552695"/>
    <n v="520753.71"/>
    <n v="429"/>
    <n v="2024"/>
    <n v="6"/>
    <x v="5"/>
    <n v="7"/>
    <x v="1"/>
    <x v="6"/>
  </r>
  <r>
    <d v="2024-06-17T00:00:00"/>
    <n v="507299"/>
    <n v="520039.29"/>
    <n v="400"/>
    <n v="2024"/>
    <n v="6"/>
    <x v="5"/>
    <n v="1"/>
    <x v="0"/>
    <x v="0"/>
  </r>
  <r>
    <d v="2024-06-18T00:00:00"/>
    <n v="541137"/>
    <n v="523937.57"/>
    <n v="406"/>
    <n v="2024"/>
    <n v="6"/>
    <x v="5"/>
    <n v="2"/>
    <x v="0"/>
    <x v="1"/>
  </r>
  <r>
    <d v="2024-06-19T00:00:00"/>
    <n v="492782"/>
    <n v="514323.71"/>
    <n v="407"/>
    <n v="2024"/>
    <n v="6"/>
    <x v="5"/>
    <n v="3"/>
    <x v="0"/>
    <x v="2"/>
  </r>
  <r>
    <d v="2024-06-20T00:00:00"/>
    <n v="515200"/>
    <n v="516349.14"/>
    <n v="434"/>
    <n v="2024"/>
    <n v="6"/>
    <x v="5"/>
    <n v="4"/>
    <x v="0"/>
    <x v="3"/>
  </r>
  <r>
    <d v="2024-06-21T00:00:00"/>
    <n v="518792"/>
    <n v="513765.43"/>
    <n v="415"/>
    <n v="2024"/>
    <n v="6"/>
    <x v="5"/>
    <n v="5"/>
    <x v="0"/>
    <x v="4"/>
  </r>
  <r>
    <d v="2024-06-22T00:00:00"/>
    <n v="515575"/>
    <n v="520497.14"/>
    <n v="407"/>
    <n v="2024"/>
    <n v="6"/>
    <x v="5"/>
    <n v="6"/>
    <x v="1"/>
    <x v="5"/>
  </r>
  <r>
    <d v="2024-06-23T00:00:00"/>
    <n v="502754"/>
    <n v="513362.71"/>
    <n v="407"/>
    <n v="2024"/>
    <n v="6"/>
    <x v="5"/>
    <n v="7"/>
    <x v="1"/>
    <x v="6"/>
  </r>
  <r>
    <d v="2024-06-24T00:00:00"/>
    <n v="481164"/>
    <n v="509629.14"/>
    <n v="391"/>
    <n v="2024"/>
    <n v="6"/>
    <x v="5"/>
    <n v="1"/>
    <x v="0"/>
    <x v="0"/>
  </r>
  <r>
    <d v="2024-06-25T00:00:00"/>
    <n v="515893"/>
    <n v="506022.86"/>
    <n v="408"/>
    <n v="2024"/>
    <n v="6"/>
    <x v="5"/>
    <n v="2"/>
    <x v="0"/>
    <x v="1"/>
  </r>
  <r>
    <d v="2024-06-26T00:00:00"/>
    <n v="542954"/>
    <n v="513190.29"/>
    <n v="452"/>
    <n v="2024"/>
    <n v="6"/>
    <x v="5"/>
    <n v="3"/>
    <x v="0"/>
    <x v="2"/>
  </r>
  <r>
    <d v="2024-06-27T00:00:00"/>
    <n v="538107"/>
    <n v="516462.71"/>
    <n v="416"/>
    <n v="2024"/>
    <n v="6"/>
    <x v="5"/>
    <n v="4"/>
    <x v="0"/>
    <x v="3"/>
  </r>
  <r>
    <d v="2024-06-28T00:00:00"/>
    <n v="509803"/>
    <n v="515178.57"/>
    <n v="401"/>
    <n v="2024"/>
    <n v="6"/>
    <x v="5"/>
    <n v="5"/>
    <x v="0"/>
    <x v="4"/>
  </r>
  <r>
    <d v="2024-06-29T00:00:00"/>
    <n v="543649"/>
    <n v="519189.14"/>
    <n v="453"/>
    <n v="2024"/>
    <n v="6"/>
    <x v="5"/>
    <n v="6"/>
    <x v="1"/>
    <x v="5"/>
  </r>
  <r>
    <d v="2024-06-30T00:00:00"/>
    <n v="508402"/>
    <n v="519996"/>
    <n v="410"/>
    <n v="2024"/>
    <n v="6"/>
    <x v="5"/>
    <n v="7"/>
    <x v="1"/>
    <x v="6"/>
  </r>
  <r>
    <d v="2024-07-01T00:00:00"/>
    <n v="489324"/>
    <n v="521161.71"/>
    <n v="381"/>
    <n v="2024"/>
    <n v="7"/>
    <x v="6"/>
    <n v="1"/>
    <x v="0"/>
    <x v="0"/>
  </r>
  <r>
    <d v="2024-07-02T00:00:00"/>
    <n v="470854"/>
    <n v="514727.57"/>
    <n v="375"/>
    <n v="2024"/>
    <n v="7"/>
    <x v="6"/>
    <n v="2"/>
    <x v="0"/>
    <x v="1"/>
  </r>
  <r>
    <d v="2024-07-03T00:00:00"/>
    <n v="465584"/>
    <n v="503674.71"/>
    <n v="377"/>
    <n v="2024"/>
    <n v="7"/>
    <x v="6"/>
    <n v="3"/>
    <x v="0"/>
    <x v="2"/>
  </r>
  <r>
    <d v="2024-07-04T00:00:00"/>
    <n v="528542"/>
    <n v="502308.29"/>
    <n v="409"/>
    <n v="2024"/>
    <n v="7"/>
    <x v="6"/>
    <n v="4"/>
    <x v="0"/>
    <x v="3"/>
  </r>
  <r>
    <d v="2024-07-05T00:00:00"/>
    <n v="553194"/>
    <n v="508507"/>
    <n v="427"/>
    <n v="2024"/>
    <n v="7"/>
    <x v="6"/>
    <n v="5"/>
    <x v="0"/>
    <x v="4"/>
  </r>
  <r>
    <d v="2024-07-06T00:00:00"/>
    <n v="511372"/>
    <n v="503896"/>
    <n v="401"/>
    <n v="2024"/>
    <n v="7"/>
    <x v="6"/>
    <n v="6"/>
    <x v="1"/>
    <x v="5"/>
  </r>
  <r>
    <d v="2024-07-07T00:00:00"/>
    <n v="499921"/>
    <n v="502684.43"/>
    <n v="392"/>
    <n v="2024"/>
    <n v="7"/>
    <x v="6"/>
    <n v="7"/>
    <x v="1"/>
    <x v="6"/>
  </r>
  <r>
    <d v="2024-07-08T00:00:00"/>
    <n v="571794"/>
    <n v="514465.86"/>
    <n v="435"/>
    <n v="2024"/>
    <n v="7"/>
    <x v="6"/>
    <n v="1"/>
    <x v="0"/>
    <x v="0"/>
  </r>
  <r>
    <d v="2024-07-09T00:00:00"/>
    <n v="459358"/>
    <n v="512823.57"/>
    <n v="384"/>
    <n v="2024"/>
    <n v="7"/>
    <x v="6"/>
    <n v="2"/>
    <x v="0"/>
    <x v="1"/>
  </r>
  <r>
    <d v="2024-07-10T00:00:00"/>
    <n v="565244"/>
    <n v="527060.71"/>
    <n v="439"/>
    <n v="2024"/>
    <n v="7"/>
    <x v="6"/>
    <n v="3"/>
    <x v="0"/>
    <x v="2"/>
  </r>
  <r>
    <d v="2024-07-11T00:00:00"/>
    <n v="532689"/>
    <n v="527653.14"/>
    <n v="419"/>
    <n v="2024"/>
    <n v="7"/>
    <x v="6"/>
    <n v="4"/>
    <x v="0"/>
    <x v="3"/>
  </r>
  <r>
    <d v="2024-07-12T00:00:00"/>
    <n v="557429"/>
    <n v="528258.14"/>
    <n v="445"/>
    <n v="2024"/>
    <n v="7"/>
    <x v="6"/>
    <n v="5"/>
    <x v="0"/>
    <x v="4"/>
  </r>
  <r>
    <d v="2024-07-13T00:00:00"/>
    <n v="519958"/>
    <n v="529484.71"/>
    <n v="417"/>
    <n v="2024"/>
    <n v="7"/>
    <x v="6"/>
    <n v="6"/>
    <x v="1"/>
    <x v="5"/>
  </r>
  <r>
    <d v="2024-07-14T00:00:00"/>
    <n v="515482"/>
    <n v="531707.71"/>
    <n v="403"/>
    <n v="2024"/>
    <n v="7"/>
    <x v="6"/>
    <n v="7"/>
    <x v="1"/>
    <x v="6"/>
  </r>
  <r>
    <d v="2024-07-15T00:00:00"/>
    <n v="514961"/>
    <n v="523588.71"/>
    <n v="416"/>
    <n v="2024"/>
    <n v="7"/>
    <x v="6"/>
    <n v="1"/>
    <x v="0"/>
    <x v="0"/>
  </r>
  <r>
    <d v="2024-07-16T00:00:00"/>
    <n v="552410"/>
    <n v="536881.86"/>
    <n v="437"/>
    <n v="2024"/>
    <n v="7"/>
    <x v="6"/>
    <n v="2"/>
    <x v="0"/>
    <x v="1"/>
  </r>
  <r>
    <d v="2024-07-17T00:00:00"/>
    <n v="494495"/>
    <n v="526774.86"/>
    <n v="412"/>
    <n v="2024"/>
    <n v="7"/>
    <x v="6"/>
    <n v="3"/>
    <x v="0"/>
    <x v="2"/>
  </r>
  <r>
    <d v="2024-07-18T00:00:00"/>
    <n v="504106"/>
    <n v="522691.57"/>
    <n v="400"/>
    <n v="2024"/>
    <n v="7"/>
    <x v="6"/>
    <n v="4"/>
    <x v="0"/>
    <x v="3"/>
  </r>
  <r>
    <d v="2024-07-19T00:00:00"/>
    <n v="530520"/>
    <n v="518847.43"/>
    <n v="435"/>
    <n v="2024"/>
    <n v="7"/>
    <x v="6"/>
    <n v="5"/>
    <x v="0"/>
    <x v="4"/>
  </r>
  <r>
    <d v="2024-07-20T00:00:00"/>
    <n v="536303"/>
    <n v="521182.43"/>
    <n v="414"/>
    <n v="2024"/>
    <n v="7"/>
    <x v="6"/>
    <n v="6"/>
    <x v="1"/>
    <x v="5"/>
  </r>
  <r>
    <d v="2024-07-21T00:00:00"/>
    <n v="550628"/>
    <n v="526203.29"/>
    <n v="440"/>
    <n v="2024"/>
    <n v="7"/>
    <x v="6"/>
    <n v="7"/>
    <x v="1"/>
    <x v="6"/>
  </r>
  <r>
    <d v="2024-07-22T00:00:00"/>
    <n v="534668"/>
    <n v="529018.56999999995"/>
    <n v="434"/>
    <n v="2024"/>
    <n v="7"/>
    <x v="6"/>
    <n v="1"/>
    <x v="0"/>
    <x v="0"/>
  </r>
  <r>
    <d v="2024-07-23T00:00:00"/>
    <n v="550494"/>
    <n v="528744.86"/>
    <n v="429"/>
    <n v="2024"/>
    <n v="7"/>
    <x v="6"/>
    <n v="2"/>
    <x v="0"/>
    <x v="1"/>
  </r>
  <r>
    <d v="2024-07-24T00:00:00"/>
    <n v="500649"/>
    <n v="529624"/>
    <n v="399"/>
    <n v="2024"/>
    <n v="7"/>
    <x v="6"/>
    <n v="3"/>
    <x v="0"/>
    <x v="2"/>
  </r>
  <r>
    <d v="2024-07-25T00:00:00"/>
    <n v="467739"/>
    <n v="524428.71"/>
    <n v="381"/>
    <n v="2024"/>
    <n v="7"/>
    <x v="6"/>
    <n v="4"/>
    <x v="0"/>
    <x v="3"/>
  </r>
  <r>
    <d v="2024-07-26T00:00:00"/>
    <n v="538519"/>
    <n v="525571.43000000005"/>
    <n v="434"/>
    <n v="2024"/>
    <n v="7"/>
    <x v="6"/>
    <n v="5"/>
    <x v="0"/>
    <x v="4"/>
  </r>
  <r>
    <d v="2024-07-27T00:00:00"/>
    <n v="506324"/>
    <n v="521288.71"/>
    <n v="418"/>
    <n v="2024"/>
    <n v="7"/>
    <x v="6"/>
    <n v="6"/>
    <x v="1"/>
    <x v="5"/>
  </r>
  <r>
    <d v="2024-07-28T00:00:00"/>
    <n v="515948"/>
    <n v="516334.43"/>
    <n v="414"/>
    <n v="2024"/>
    <n v="7"/>
    <x v="6"/>
    <n v="7"/>
    <x v="1"/>
    <x v="6"/>
  </r>
  <r>
    <d v="2024-07-29T00:00:00"/>
    <n v="534319"/>
    <n v="516284.57"/>
    <n v="430"/>
    <n v="2024"/>
    <n v="7"/>
    <x v="6"/>
    <n v="1"/>
    <x v="0"/>
    <x v="0"/>
  </r>
  <r>
    <d v="2024-07-30T00:00:00"/>
    <n v="462396"/>
    <n v="503699.14"/>
    <n v="366"/>
    <n v="2024"/>
    <n v="7"/>
    <x v="6"/>
    <n v="2"/>
    <x v="0"/>
    <x v="1"/>
  </r>
  <r>
    <d v="2024-07-31T00:00:00"/>
    <n v="460182"/>
    <n v="497918.14"/>
    <n v="379"/>
    <n v="2024"/>
    <n v="7"/>
    <x v="6"/>
    <n v="3"/>
    <x v="0"/>
    <x v="2"/>
  </r>
  <r>
    <d v="2024-08-01T00:00:00"/>
    <n v="473688"/>
    <n v="498768"/>
    <n v="379"/>
    <n v="2024"/>
    <n v="8"/>
    <x v="7"/>
    <n v="4"/>
    <x v="0"/>
    <x v="3"/>
  </r>
  <r>
    <d v="2024-08-02T00:00:00"/>
    <n v="546110"/>
    <n v="499852.43"/>
    <n v="447"/>
    <n v="2024"/>
    <n v="8"/>
    <x v="7"/>
    <n v="5"/>
    <x v="0"/>
    <x v="4"/>
  </r>
  <r>
    <d v="2024-08-03T00:00:00"/>
    <n v="528382"/>
    <n v="503003.57"/>
    <n v="400"/>
    <n v="2024"/>
    <n v="8"/>
    <x v="7"/>
    <n v="6"/>
    <x v="1"/>
    <x v="5"/>
  </r>
  <r>
    <d v="2024-08-04T00:00:00"/>
    <n v="524759"/>
    <n v="504262.29"/>
    <n v="415"/>
    <n v="2024"/>
    <n v="8"/>
    <x v="7"/>
    <n v="7"/>
    <x v="1"/>
    <x v="6"/>
  </r>
  <r>
    <d v="2024-08-05T00:00:00"/>
    <n v="534258"/>
    <n v="504253.57"/>
    <n v="410"/>
    <n v="2024"/>
    <n v="8"/>
    <x v="7"/>
    <n v="1"/>
    <x v="0"/>
    <x v="0"/>
  </r>
  <r>
    <d v="2024-08-06T00:00:00"/>
    <n v="553757"/>
    <n v="517305.14"/>
    <n v="446"/>
    <n v="2024"/>
    <n v="8"/>
    <x v="7"/>
    <n v="2"/>
    <x v="0"/>
    <x v="1"/>
  </r>
  <r>
    <d v="2024-08-07T00:00:00"/>
    <n v="485215"/>
    <n v="520881.29"/>
    <n v="393"/>
    <n v="2024"/>
    <n v="8"/>
    <x v="7"/>
    <n v="3"/>
    <x v="0"/>
    <x v="2"/>
  </r>
  <r>
    <d v="2024-08-08T00:00:00"/>
    <n v="479045"/>
    <n v="521646.57"/>
    <n v="387"/>
    <n v="2024"/>
    <n v="8"/>
    <x v="7"/>
    <n v="4"/>
    <x v="0"/>
    <x v="3"/>
  </r>
  <r>
    <d v="2024-08-09T00:00:00"/>
    <n v="549078"/>
    <n v="522070.57"/>
    <n v="419"/>
    <n v="2024"/>
    <n v="8"/>
    <x v="7"/>
    <n v="5"/>
    <x v="0"/>
    <x v="4"/>
  </r>
  <r>
    <d v="2024-08-10T00:00:00"/>
    <n v="467731"/>
    <n v="513406.14"/>
    <n v="391"/>
    <n v="2024"/>
    <n v="8"/>
    <x v="7"/>
    <n v="6"/>
    <x v="1"/>
    <x v="5"/>
  </r>
  <r>
    <d v="2024-08-11T00:00:00"/>
    <n v="544658"/>
    <n v="516248.86"/>
    <n v="439"/>
    <n v="2024"/>
    <n v="8"/>
    <x v="7"/>
    <n v="7"/>
    <x v="1"/>
    <x v="6"/>
  </r>
  <r>
    <d v="2024-08-12T00:00:00"/>
    <n v="492042"/>
    <n v="510218"/>
    <n v="405"/>
    <n v="2024"/>
    <n v="8"/>
    <x v="7"/>
    <n v="1"/>
    <x v="0"/>
    <x v="0"/>
  </r>
  <r>
    <d v="2024-08-13T00:00:00"/>
    <n v="504447"/>
    <n v="503173.71"/>
    <n v="418"/>
    <n v="2024"/>
    <n v="8"/>
    <x v="7"/>
    <n v="2"/>
    <x v="0"/>
    <x v="1"/>
  </r>
  <r>
    <d v="2024-08-14T00:00:00"/>
    <n v="547088"/>
    <n v="512012.71"/>
    <n v="423"/>
    <n v="2024"/>
    <n v="8"/>
    <x v="7"/>
    <n v="3"/>
    <x v="0"/>
    <x v="2"/>
  </r>
  <r>
    <d v="2024-08-15T00:00:00"/>
    <n v="523110"/>
    <n v="518307.71"/>
    <n v="412"/>
    <n v="2024"/>
    <n v="8"/>
    <x v="7"/>
    <n v="4"/>
    <x v="0"/>
    <x v="3"/>
  </r>
  <r>
    <d v="2024-08-16T00:00:00"/>
    <n v="477877"/>
    <n v="508136.14"/>
    <n v="412"/>
    <n v="2024"/>
    <n v="8"/>
    <x v="7"/>
    <n v="5"/>
    <x v="0"/>
    <x v="4"/>
  </r>
  <r>
    <d v="2024-08-17T00:00:00"/>
    <n v="506541"/>
    <n v="513680.43"/>
    <n v="397"/>
    <n v="2024"/>
    <n v="8"/>
    <x v="7"/>
    <n v="6"/>
    <x v="1"/>
    <x v="5"/>
  </r>
  <r>
    <d v="2024-08-18T00:00:00"/>
    <n v="527709"/>
    <n v="511259.14"/>
    <n v="411"/>
    <n v="2024"/>
    <n v="8"/>
    <x v="7"/>
    <n v="7"/>
    <x v="1"/>
    <x v="6"/>
  </r>
  <r>
    <d v="2024-08-19T00:00:00"/>
    <n v="510859"/>
    <n v="513947.29"/>
    <n v="399"/>
    <n v="2024"/>
    <n v="8"/>
    <x v="7"/>
    <n v="1"/>
    <x v="0"/>
    <x v="0"/>
  </r>
  <r>
    <d v="2024-08-20T00:00:00"/>
    <n v="527436"/>
    <n v="517231.43"/>
    <n v="421"/>
    <n v="2024"/>
    <n v="8"/>
    <x v="7"/>
    <n v="2"/>
    <x v="0"/>
    <x v="1"/>
  </r>
  <r>
    <d v="2024-08-21T00:00:00"/>
    <n v="544562"/>
    <n v="516870.57"/>
    <n v="452"/>
    <n v="2024"/>
    <n v="8"/>
    <x v="7"/>
    <n v="3"/>
    <x v="0"/>
    <x v="2"/>
  </r>
  <r>
    <d v="2024-08-22T00:00:00"/>
    <n v="520576"/>
    <n v="516508.57"/>
    <n v="443"/>
    <n v="2024"/>
    <n v="8"/>
    <x v="7"/>
    <n v="4"/>
    <x v="0"/>
    <x v="3"/>
  </r>
  <r>
    <d v="2024-08-23T00:00:00"/>
    <n v="535583"/>
    <n v="524752.29"/>
    <n v="410"/>
    <n v="2024"/>
    <n v="8"/>
    <x v="7"/>
    <n v="5"/>
    <x v="0"/>
    <x v="4"/>
  </r>
  <r>
    <d v="2024-08-24T00:00:00"/>
    <n v="512276"/>
    <n v="525571.56999999995"/>
    <n v="426"/>
    <n v="2024"/>
    <n v="8"/>
    <x v="7"/>
    <n v="6"/>
    <x v="1"/>
    <x v="5"/>
  </r>
  <r>
    <d v="2024-08-25T00:00:00"/>
    <n v="522887"/>
    <n v="524882.71"/>
    <n v="429"/>
    <n v="2024"/>
    <n v="8"/>
    <x v="7"/>
    <n v="7"/>
    <x v="1"/>
    <x v="6"/>
  </r>
  <r>
    <d v="2024-08-26T00:00:00"/>
    <n v="533840"/>
    <n v="528165.71"/>
    <n v="436"/>
    <n v="2024"/>
    <n v="8"/>
    <x v="7"/>
    <n v="1"/>
    <x v="0"/>
    <x v="0"/>
  </r>
  <r>
    <d v="2024-08-27T00:00:00"/>
    <n v="461365"/>
    <n v="518727"/>
    <n v="357"/>
    <n v="2024"/>
    <n v="8"/>
    <x v="7"/>
    <n v="2"/>
    <x v="0"/>
    <x v="1"/>
  </r>
  <r>
    <d v="2024-08-28T00:00:00"/>
    <n v="557555"/>
    <n v="520583.14"/>
    <n v="440"/>
    <n v="2024"/>
    <n v="8"/>
    <x v="7"/>
    <n v="3"/>
    <x v="0"/>
    <x v="2"/>
  </r>
  <r>
    <d v="2024-08-29T00:00:00"/>
    <n v="507132"/>
    <n v="518662.57"/>
    <n v="411"/>
    <n v="2024"/>
    <n v="8"/>
    <x v="7"/>
    <n v="4"/>
    <x v="0"/>
    <x v="3"/>
  </r>
  <r>
    <d v="2024-08-30T00:00:00"/>
    <n v="494736"/>
    <n v="512827.29"/>
    <n v="386"/>
    <n v="2024"/>
    <n v="8"/>
    <x v="7"/>
    <n v="5"/>
    <x v="0"/>
    <x v="4"/>
  </r>
  <r>
    <d v="2024-08-31T00:00:00"/>
    <n v="517102"/>
    <n v="513516.71"/>
    <n v="404"/>
    <n v="2024"/>
    <n v="8"/>
    <x v="7"/>
    <n v="6"/>
    <x v="1"/>
    <x v="5"/>
  </r>
  <r>
    <d v="2024-09-01T00:00:00"/>
    <n v="517128"/>
    <n v="512694"/>
    <n v="420"/>
    <n v="2024"/>
    <n v="9"/>
    <x v="8"/>
    <n v="7"/>
    <x v="1"/>
    <x v="6"/>
  </r>
  <r>
    <d v="2024-09-02T00:00:00"/>
    <n v="525798"/>
    <n v="511545.14"/>
    <n v="410"/>
    <n v="2024"/>
    <n v="9"/>
    <x v="8"/>
    <n v="1"/>
    <x v="0"/>
    <x v="0"/>
  </r>
  <r>
    <d v="2024-09-03T00:00:00"/>
    <n v="516406"/>
    <n v="519408.14"/>
    <n v="406"/>
    <n v="2024"/>
    <n v="9"/>
    <x v="8"/>
    <n v="2"/>
    <x v="0"/>
    <x v="1"/>
  </r>
  <r>
    <d v="2024-09-04T00:00:00"/>
    <n v="520114"/>
    <n v="514059.43"/>
    <n v="422"/>
    <n v="2024"/>
    <n v="9"/>
    <x v="8"/>
    <n v="3"/>
    <x v="0"/>
    <x v="2"/>
  </r>
  <r>
    <d v="2024-09-05T00:00:00"/>
    <n v="472924"/>
    <n v="509172.57"/>
    <n v="394"/>
    <n v="2024"/>
    <n v="9"/>
    <x v="8"/>
    <n v="4"/>
    <x v="0"/>
    <x v="3"/>
  </r>
  <r>
    <d v="2024-09-06T00:00:00"/>
    <n v="519291"/>
    <n v="512680.43"/>
    <n v="416"/>
    <n v="2024"/>
    <n v="9"/>
    <x v="8"/>
    <n v="5"/>
    <x v="0"/>
    <x v="4"/>
  </r>
  <r>
    <d v="2024-09-07T00:00:00"/>
    <n v="564567"/>
    <n v="519461.14"/>
    <n v="434"/>
    <n v="2024"/>
    <n v="9"/>
    <x v="8"/>
    <n v="6"/>
    <x v="1"/>
    <x v="5"/>
  </r>
  <r>
    <d v="2024-09-08T00:00:00"/>
    <n v="469340"/>
    <n v="512634.29"/>
    <n v="396"/>
    <n v="2024"/>
    <n v="9"/>
    <x v="8"/>
    <n v="7"/>
    <x v="1"/>
    <x v="6"/>
  </r>
  <r>
    <d v="2024-09-09T00:00:00"/>
    <n v="505194"/>
    <n v="509690.86"/>
    <n v="403"/>
    <n v="2024"/>
    <n v="9"/>
    <x v="8"/>
    <n v="1"/>
    <x v="0"/>
    <x v="0"/>
  </r>
  <r>
    <d v="2024-09-10T00:00:00"/>
    <n v="531263"/>
    <n v="511813.29"/>
    <n v="402"/>
    <n v="2024"/>
    <n v="9"/>
    <x v="8"/>
    <n v="2"/>
    <x v="0"/>
    <x v="1"/>
  </r>
  <r>
    <d v="2024-09-11T00:00:00"/>
    <n v="436600"/>
    <n v="499882.71"/>
    <n v="368"/>
    <n v="2024"/>
    <n v="9"/>
    <x v="8"/>
    <n v="3"/>
    <x v="0"/>
    <x v="2"/>
  </r>
  <r>
    <d v="2024-09-12T00:00:00"/>
    <n v="541459"/>
    <n v="509673.43"/>
    <n v="439"/>
    <n v="2024"/>
    <n v="9"/>
    <x v="8"/>
    <n v="4"/>
    <x v="0"/>
    <x v="3"/>
  </r>
  <r>
    <d v="2024-09-13T00:00:00"/>
    <n v="480274"/>
    <n v="504099.57"/>
    <n v="398"/>
    <n v="2024"/>
    <n v="9"/>
    <x v="8"/>
    <n v="5"/>
    <x v="0"/>
    <x v="4"/>
  </r>
  <r>
    <d v="2024-09-14T00:00:00"/>
    <n v="473265"/>
    <n v="491056.43"/>
    <n v="373"/>
    <n v="2024"/>
    <n v="9"/>
    <x v="8"/>
    <n v="6"/>
    <x v="1"/>
    <x v="5"/>
  </r>
  <r>
    <d v="2024-09-15T00:00:00"/>
    <n v="547703"/>
    <n v="502251.14"/>
    <n v="444"/>
    <n v="2024"/>
    <n v="9"/>
    <x v="8"/>
    <n v="7"/>
    <x v="1"/>
    <x v="6"/>
  </r>
  <r>
    <d v="2024-09-16T00:00:00"/>
    <n v="461539"/>
    <n v="496014.71"/>
    <n v="386"/>
    <n v="2024"/>
    <n v="9"/>
    <x v="8"/>
    <n v="1"/>
    <x v="0"/>
    <x v="0"/>
  </r>
  <r>
    <d v="2024-09-17T00:00:00"/>
    <n v="530562"/>
    <n v="495914.57"/>
    <n v="420"/>
    <n v="2024"/>
    <n v="9"/>
    <x v="8"/>
    <n v="2"/>
    <x v="0"/>
    <x v="1"/>
  </r>
  <r>
    <d v="2024-09-18T00:00:00"/>
    <n v="492644"/>
    <n v="503920.86"/>
    <n v="399"/>
    <n v="2024"/>
    <n v="9"/>
    <x v="8"/>
    <n v="3"/>
    <x v="0"/>
    <x v="2"/>
  </r>
  <r>
    <d v="2024-09-19T00:00:00"/>
    <n v="511179"/>
    <n v="499595.14"/>
    <n v="411"/>
    <n v="2024"/>
    <n v="9"/>
    <x v="8"/>
    <n v="4"/>
    <x v="0"/>
    <x v="3"/>
  </r>
  <r>
    <d v="2024-09-20T00:00:00"/>
    <n v="508714"/>
    <n v="503658"/>
    <n v="403"/>
    <n v="2024"/>
    <n v="9"/>
    <x v="8"/>
    <n v="5"/>
    <x v="0"/>
    <x v="4"/>
  </r>
  <r>
    <d v="2024-09-21T00:00:00"/>
    <n v="523536"/>
    <n v="510839.57"/>
    <n v="425"/>
    <n v="2024"/>
    <n v="9"/>
    <x v="8"/>
    <n v="6"/>
    <x v="1"/>
    <x v="5"/>
  </r>
  <r>
    <d v="2024-09-22T00:00:00"/>
    <n v="496028"/>
    <n v="503457.43"/>
    <n v="386"/>
    <n v="2024"/>
    <n v="9"/>
    <x v="8"/>
    <n v="7"/>
    <x v="1"/>
    <x v="6"/>
  </r>
  <r>
    <d v="2024-09-23T00:00:00"/>
    <n v="515053"/>
    <n v="511102.29"/>
    <n v="418"/>
    <n v="2024"/>
    <n v="9"/>
    <x v="8"/>
    <n v="1"/>
    <x v="0"/>
    <x v="0"/>
  </r>
  <r>
    <d v="2024-09-24T00:00:00"/>
    <n v="549718"/>
    <n v="513838.86"/>
    <n v="437"/>
    <n v="2024"/>
    <n v="9"/>
    <x v="8"/>
    <n v="2"/>
    <x v="0"/>
    <x v="1"/>
  </r>
  <r>
    <d v="2024-09-25T00:00:00"/>
    <n v="484781"/>
    <n v="512715.57"/>
    <n v="378"/>
    <n v="2024"/>
    <n v="9"/>
    <x v="8"/>
    <n v="3"/>
    <x v="0"/>
    <x v="2"/>
  </r>
  <r>
    <d v="2024-09-26T00:00:00"/>
    <n v="521938"/>
    <n v="514252.57"/>
    <n v="416"/>
    <n v="2024"/>
    <n v="9"/>
    <x v="8"/>
    <n v="4"/>
    <x v="0"/>
    <x v="3"/>
  </r>
  <r>
    <d v="2024-09-27T00:00:00"/>
    <n v="506539"/>
    <n v="513941.86"/>
    <n v="426"/>
    <n v="2024"/>
    <n v="9"/>
    <x v="8"/>
    <n v="5"/>
    <x v="0"/>
    <x v="4"/>
  </r>
  <r>
    <d v="2024-09-28T00:00:00"/>
    <n v="499463"/>
    <n v="510502.86"/>
    <n v="388"/>
    <n v="2024"/>
    <n v="9"/>
    <x v="8"/>
    <n v="6"/>
    <x v="1"/>
    <x v="5"/>
  </r>
  <r>
    <d v="2024-09-29T00:00:00"/>
    <n v="536987"/>
    <n v="516354.14"/>
    <n v="428"/>
    <n v="2024"/>
    <n v="9"/>
    <x v="8"/>
    <n v="7"/>
    <x v="1"/>
    <x v="6"/>
  </r>
  <r>
    <d v="2024-09-30T00:00:00"/>
    <n v="488796"/>
    <n v="512603.14"/>
    <n v="397"/>
    <n v="2024"/>
    <n v="9"/>
    <x v="8"/>
    <n v="1"/>
    <x v="0"/>
    <x v="0"/>
  </r>
  <r>
    <d v="2024-10-01T00:00:00"/>
    <n v="484244"/>
    <n v="503249.71"/>
    <n v="390"/>
    <n v="2024"/>
    <n v="10"/>
    <x v="9"/>
    <n v="2"/>
    <x v="0"/>
    <x v="1"/>
  </r>
  <r>
    <d v="2024-10-02T00:00:00"/>
    <n v="505900"/>
    <n v="506266.71"/>
    <n v="405"/>
    <n v="2024"/>
    <n v="10"/>
    <x v="9"/>
    <n v="3"/>
    <x v="0"/>
    <x v="2"/>
  </r>
  <r>
    <d v="2024-10-03T00:00:00"/>
    <n v="554965"/>
    <n v="510984.86"/>
    <n v="417"/>
    <n v="2024"/>
    <n v="10"/>
    <x v="9"/>
    <n v="4"/>
    <x v="0"/>
    <x v="3"/>
  </r>
  <r>
    <d v="2024-10-04T00:00:00"/>
    <n v="525468"/>
    <n v="513689"/>
    <n v="422"/>
    <n v="2024"/>
    <n v="10"/>
    <x v="9"/>
    <n v="5"/>
    <x v="0"/>
    <x v="4"/>
  </r>
  <r>
    <d v="2024-10-05T00:00:00"/>
    <n v="496258"/>
    <n v="513231.14"/>
    <n v="406"/>
    <n v="2024"/>
    <n v="10"/>
    <x v="9"/>
    <n v="6"/>
    <x v="1"/>
    <x v="5"/>
  </r>
  <r>
    <d v="2024-10-06T00:00:00"/>
    <n v="506753"/>
    <n v="508912"/>
    <n v="434"/>
    <n v="2024"/>
    <n v="10"/>
    <x v="9"/>
    <n v="7"/>
    <x v="1"/>
    <x v="6"/>
  </r>
  <r>
    <d v="2024-10-07T00:00:00"/>
    <n v="552227"/>
    <n v="517973.57"/>
    <n v="423"/>
    <n v="2024"/>
    <n v="10"/>
    <x v="9"/>
    <n v="1"/>
    <x v="0"/>
    <x v="0"/>
  </r>
  <r>
    <d v="2024-10-08T00:00:00"/>
    <n v="486401"/>
    <n v="518281.71"/>
    <n v="390"/>
    <n v="2024"/>
    <n v="10"/>
    <x v="9"/>
    <n v="2"/>
    <x v="0"/>
    <x v="1"/>
  </r>
  <r>
    <d v="2024-10-09T00:00:00"/>
    <n v="530491"/>
    <n v="521794.71"/>
    <n v="427"/>
    <n v="2024"/>
    <n v="10"/>
    <x v="9"/>
    <n v="3"/>
    <x v="0"/>
    <x v="2"/>
  </r>
  <r>
    <d v="2024-10-10T00:00:00"/>
    <n v="517614"/>
    <n v="516458.86"/>
    <n v="400"/>
    <n v="2024"/>
    <n v="10"/>
    <x v="9"/>
    <n v="4"/>
    <x v="0"/>
    <x v="3"/>
  </r>
  <r>
    <d v="2024-10-11T00:00:00"/>
    <n v="512939"/>
    <n v="514669"/>
    <n v="434"/>
    <n v="2024"/>
    <n v="10"/>
    <x v="9"/>
    <n v="5"/>
    <x v="0"/>
    <x v="4"/>
  </r>
  <r>
    <d v="2024-10-12T00:00:00"/>
    <n v="516356"/>
    <n v="517540.14"/>
    <n v="412"/>
    <n v="2024"/>
    <n v="10"/>
    <x v="9"/>
    <n v="6"/>
    <x v="1"/>
    <x v="5"/>
  </r>
  <r>
    <d v="2024-10-13T00:00:00"/>
    <n v="506674"/>
    <n v="517528.86"/>
    <n v="408"/>
    <n v="2024"/>
    <n v="10"/>
    <x v="9"/>
    <n v="7"/>
    <x v="1"/>
    <x v="6"/>
  </r>
  <r>
    <d v="2024-10-14T00:00:00"/>
    <n v="502415"/>
    <n v="510412.86"/>
    <n v="404"/>
    <n v="2024"/>
    <n v="10"/>
    <x v="9"/>
    <n v="1"/>
    <x v="0"/>
    <x v="0"/>
  </r>
  <r>
    <d v="2024-10-15T00:00:00"/>
    <n v="481720"/>
    <n v="509744.14"/>
    <n v="393"/>
    <n v="2024"/>
    <n v="10"/>
    <x v="9"/>
    <n v="2"/>
    <x v="0"/>
    <x v="1"/>
  </r>
  <r>
    <d v="2024-10-16T00:00:00"/>
    <n v="483515"/>
    <n v="503033.29"/>
    <n v="393"/>
    <n v="2024"/>
    <n v="10"/>
    <x v="9"/>
    <n v="3"/>
    <x v="0"/>
    <x v="2"/>
  </r>
  <r>
    <d v="2024-10-17T00:00:00"/>
    <n v="551387"/>
    <n v="507858"/>
    <n v="431"/>
    <n v="2024"/>
    <n v="10"/>
    <x v="9"/>
    <n v="4"/>
    <x v="0"/>
    <x v="3"/>
  </r>
  <r>
    <d v="2024-10-18T00:00:00"/>
    <n v="530413"/>
    <n v="510354.29"/>
    <n v="414"/>
    <n v="2024"/>
    <n v="10"/>
    <x v="9"/>
    <n v="5"/>
    <x v="0"/>
    <x v="4"/>
  </r>
  <r>
    <d v="2024-10-19T00:00:00"/>
    <n v="507557"/>
    <n v="509097.29"/>
    <n v="402"/>
    <n v="2024"/>
    <n v="10"/>
    <x v="9"/>
    <n v="6"/>
    <x v="1"/>
    <x v="5"/>
  </r>
  <r>
    <d v="2024-10-20T00:00:00"/>
    <n v="471723"/>
    <n v="504104.29"/>
    <n v="384"/>
    <n v="2024"/>
    <n v="10"/>
    <x v="9"/>
    <n v="7"/>
    <x v="1"/>
    <x v="6"/>
  </r>
  <r>
    <d v="2024-10-21T00:00:00"/>
    <n v="511054"/>
    <n v="505338.43"/>
    <n v="397"/>
    <n v="2024"/>
    <n v="10"/>
    <x v="9"/>
    <n v="1"/>
    <x v="0"/>
    <x v="0"/>
  </r>
  <r>
    <d v="2024-10-22T00:00:00"/>
    <n v="477899"/>
    <n v="504792.57"/>
    <n v="401"/>
    <n v="2024"/>
    <n v="10"/>
    <x v="9"/>
    <n v="2"/>
    <x v="0"/>
    <x v="1"/>
  </r>
  <r>
    <d v="2024-10-23T00:00:00"/>
    <n v="469427"/>
    <n v="502780"/>
    <n v="384"/>
    <n v="2024"/>
    <n v="10"/>
    <x v="9"/>
    <n v="3"/>
    <x v="0"/>
    <x v="2"/>
  </r>
  <r>
    <d v="2024-10-24T00:00:00"/>
    <n v="539006"/>
    <n v="501011.29"/>
    <n v="434"/>
    <n v="2024"/>
    <n v="10"/>
    <x v="9"/>
    <n v="4"/>
    <x v="0"/>
    <x v="3"/>
  </r>
  <r>
    <d v="2024-10-25T00:00:00"/>
    <n v="551379"/>
    <n v="504006.43"/>
    <n v="427"/>
    <n v="2024"/>
    <n v="10"/>
    <x v="9"/>
    <n v="5"/>
    <x v="0"/>
    <x v="4"/>
  </r>
  <r>
    <d v="2024-10-26T00:00:00"/>
    <n v="542123"/>
    <n v="508944.43"/>
    <n v="425"/>
    <n v="2024"/>
    <n v="10"/>
    <x v="9"/>
    <n v="6"/>
    <x v="1"/>
    <x v="5"/>
  </r>
  <r>
    <d v="2024-10-27T00:00:00"/>
    <n v="487699"/>
    <n v="511226.71"/>
    <n v="387"/>
    <n v="2024"/>
    <n v="10"/>
    <x v="9"/>
    <n v="7"/>
    <x v="1"/>
    <x v="6"/>
  </r>
  <r>
    <d v="2024-10-28T00:00:00"/>
    <n v="517850"/>
    <n v="512197.57"/>
    <n v="408"/>
    <n v="2024"/>
    <n v="10"/>
    <x v="9"/>
    <n v="1"/>
    <x v="0"/>
    <x v="0"/>
  </r>
  <r>
    <d v="2024-10-29T00:00:00"/>
    <n v="526826"/>
    <n v="519187.14"/>
    <n v="431"/>
    <n v="2024"/>
    <n v="10"/>
    <x v="9"/>
    <n v="2"/>
    <x v="0"/>
    <x v="1"/>
  </r>
  <r>
    <d v="2024-10-30T00:00:00"/>
    <n v="509667"/>
    <n v="524935.71"/>
    <n v="410"/>
    <n v="2024"/>
    <n v="10"/>
    <x v="9"/>
    <n v="3"/>
    <x v="0"/>
    <x v="2"/>
  </r>
  <r>
    <d v="2024-10-31T00:00:00"/>
    <n v="533877"/>
    <n v="524203"/>
    <n v="413"/>
    <n v="2024"/>
    <n v="10"/>
    <x v="9"/>
    <n v="4"/>
    <x v="0"/>
    <x v="3"/>
  </r>
  <r>
    <d v="2024-11-01T00:00:00"/>
    <n v="512174"/>
    <n v="518602.29"/>
    <n v="427"/>
    <n v="2024"/>
    <n v="11"/>
    <x v="10"/>
    <n v="5"/>
    <x v="0"/>
    <x v="4"/>
  </r>
  <r>
    <d v="2024-11-02T00:00:00"/>
    <n v="478493"/>
    <n v="509512.29"/>
    <n v="386"/>
    <n v="2024"/>
    <n v="11"/>
    <x v="10"/>
    <n v="6"/>
    <x v="1"/>
    <x v="5"/>
  </r>
  <r>
    <d v="2024-11-03T00:00:00"/>
    <n v="495234"/>
    <n v="510588.71"/>
    <n v="401"/>
    <n v="2024"/>
    <n v="11"/>
    <x v="10"/>
    <n v="7"/>
    <x v="1"/>
    <x v="6"/>
  </r>
  <r>
    <d v="2024-11-04T00:00:00"/>
    <n v="522245"/>
    <n v="511216.57"/>
    <n v="418"/>
    <n v="2024"/>
    <n v="11"/>
    <x v="10"/>
    <n v="1"/>
    <x v="0"/>
    <x v="0"/>
  </r>
  <r>
    <d v="2024-11-05T00:00:00"/>
    <n v="498149"/>
    <n v="507119.86"/>
    <n v="420"/>
    <n v="2024"/>
    <n v="11"/>
    <x v="10"/>
    <n v="2"/>
    <x v="0"/>
    <x v="1"/>
  </r>
  <r>
    <d v="2024-11-06T00:00:00"/>
    <n v="504960"/>
    <n v="506447.43"/>
    <n v="411"/>
    <n v="2024"/>
    <n v="11"/>
    <x v="10"/>
    <n v="3"/>
    <x v="0"/>
    <x v="2"/>
  </r>
  <r>
    <d v="2024-11-07T00:00:00"/>
    <n v="539644"/>
    <n v="507271.29"/>
    <n v="409"/>
    <n v="2024"/>
    <n v="11"/>
    <x v="10"/>
    <n v="4"/>
    <x v="0"/>
    <x v="3"/>
  </r>
  <r>
    <d v="2024-11-08T00:00:00"/>
    <n v="494675"/>
    <n v="504771.43"/>
    <n v="415"/>
    <n v="2024"/>
    <n v="11"/>
    <x v="10"/>
    <n v="5"/>
    <x v="0"/>
    <x v="4"/>
  </r>
  <r>
    <d v="2024-11-09T00:00:00"/>
    <n v="507230"/>
    <n v="508876.71"/>
    <n v="400"/>
    <n v="2024"/>
    <n v="11"/>
    <x v="10"/>
    <n v="6"/>
    <x v="1"/>
    <x v="5"/>
  </r>
  <r>
    <d v="2024-11-10T00:00:00"/>
    <n v="471166"/>
    <n v="505438.43"/>
    <n v="372"/>
    <n v="2024"/>
    <n v="11"/>
    <x v="10"/>
    <n v="7"/>
    <x v="1"/>
    <x v="6"/>
  </r>
  <r>
    <d v="2024-11-11T00:00:00"/>
    <n v="507473"/>
    <n v="503328.14"/>
    <n v="415"/>
    <n v="2024"/>
    <n v="11"/>
    <x v="10"/>
    <n v="1"/>
    <x v="0"/>
    <x v="0"/>
  </r>
  <r>
    <d v="2024-11-12T00:00:00"/>
    <n v="529370"/>
    <n v="507788.29"/>
    <n v="415"/>
    <n v="2024"/>
    <n v="11"/>
    <x v="10"/>
    <n v="2"/>
    <x v="0"/>
    <x v="1"/>
  </r>
  <r>
    <d v="2024-11-13T00:00:00"/>
    <n v="565723"/>
    <n v="516468.71"/>
    <n v="438"/>
    <n v="2024"/>
    <n v="11"/>
    <x v="10"/>
    <n v="3"/>
    <x v="0"/>
    <x v="2"/>
  </r>
  <r>
    <d v="2024-11-14T00:00:00"/>
    <n v="518943"/>
    <n v="513511.43"/>
    <n v="407"/>
    <n v="2024"/>
    <n v="11"/>
    <x v="10"/>
    <n v="4"/>
    <x v="0"/>
    <x v="3"/>
  </r>
  <r>
    <d v="2024-11-15T00:00:00"/>
    <n v="466906"/>
    <n v="509544.43"/>
    <n v="371"/>
    <n v="2024"/>
    <n v="11"/>
    <x v="10"/>
    <n v="5"/>
    <x v="0"/>
    <x v="4"/>
  </r>
  <r>
    <d v="2024-11-16T00:00:00"/>
    <n v="543266"/>
    <n v="514692.43"/>
    <n v="446"/>
    <n v="2024"/>
    <n v="11"/>
    <x v="10"/>
    <n v="6"/>
    <x v="1"/>
    <x v="5"/>
  </r>
  <r>
    <d v="2024-11-17T00:00:00"/>
    <n v="511014"/>
    <n v="520385"/>
    <n v="405"/>
    <n v="2024"/>
    <n v="11"/>
    <x v="10"/>
    <n v="7"/>
    <x v="1"/>
    <x v="6"/>
  </r>
  <r>
    <d v="2024-11-18T00:00:00"/>
    <n v="499597"/>
    <n v="519259.86"/>
    <n v="409"/>
    <n v="2024"/>
    <n v="11"/>
    <x v="10"/>
    <n v="1"/>
    <x v="0"/>
    <x v="0"/>
  </r>
  <r>
    <d v="2024-11-19T00:00:00"/>
    <n v="516867"/>
    <n v="517473.71"/>
    <n v="403"/>
    <n v="2024"/>
    <n v="11"/>
    <x v="10"/>
    <n v="2"/>
    <x v="0"/>
    <x v="1"/>
  </r>
  <r>
    <d v="2024-11-20T00:00:00"/>
    <n v="536756"/>
    <n v="513335.57"/>
    <n v="433"/>
    <n v="2024"/>
    <n v="11"/>
    <x v="10"/>
    <n v="3"/>
    <x v="0"/>
    <x v="2"/>
  </r>
  <r>
    <d v="2024-11-21T00:00:00"/>
    <n v="485419"/>
    <n v="508546.43"/>
    <n v="405"/>
    <n v="2024"/>
    <n v="11"/>
    <x v="10"/>
    <n v="4"/>
    <x v="0"/>
    <x v="3"/>
  </r>
  <r>
    <d v="2024-11-22T00:00:00"/>
    <n v="501231"/>
    <n v="513450"/>
    <n v="403"/>
    <n v="2024"/>
    <n v="11"/>
    <x v="10"/>
    <n v="5"/>
    <x v="0"/>
    <x v="4"/>
  </r>
  <r>
    <d v="2024-11-23T00:00:00"/>
    <n v="537759"/>
    <n v="512663.29"/>
    <n v="429"/>
    <n v="2024"/>
    <n v="11"/>
    <x v="10"/>
    <n v="6"/>
    <x v="1"/>
    <x v="5"/>
  </r>
  <r>
    <d v="2024-11-24T00:00:00"/>
    <n v="495121"/>
    <n v="510392.86"/>
    <n v="390"/>
    <n v="2024"/>
    <n v="11"/>
    <x v="10"/>
    <n v="7"/>
    <x v="1"/>
    <x v="6"/>
  </r>
  <r>
    <d v="2024-11-25T00:00:00"/>
    <n v="485742"/>
    <n v="508413.57"/>
    <n v="398"/>
    <n v="2024"/>
    <n v="11"/>
    <x v="10"/>
    <n v="1"/>
    <x v="0"/>
    <x v="0"/>
  </r>
  <r>
    <d v="2024-11-26T00:00:00"/>
    <n v="511882"/>
    <n v="507701.43"/>
    <n v="399"/>
    <n v="2024"/>
    <n v="11"/>
    <x v="10"/>
    <n v="2"/>
    <x v="0"/>
    <x v="1"/>
  </r>
  <r>
    <d v="2024-11-27T00:00:00"/>
    <n v="518550"/>
    <n v="505100.57"/>
    <n v="423"/>
    <n v="2024"/>
    <n v="11"/>
    <x v="10"/>
    <n v="3"/>
    <x v="0"/>
    <x v="2"/>
  </r>
  <r>
    <d v="2024-11-28T00:00:00"/>
    <n v="549661"/>
    <n v="514278"/>
    <n v="442"/>
    <n v="2024"/>
    <n v="11"/>
    <x v="10"/>
    <n v="4"/>
    <x v="0"/>
    <x v="3"/>
  </r>
  <r>
    <d v="2024-11-29T00:00:00"/>
    <n v="495152"/>
    <n v="513409.57"/>
    <n v="402"/>
    <n v="2024"/>
    <n v="11"/>
    <x v="10"/>
    <n v="5"/>
    <x v="0"/>
    <x v="4"/>
  </r>
  <r>
    <d v="2024-11-30T00:00:00"/>
    <n v="484267"/>
    <n v="505767.86"/>
    <n v="408"/>
    <n v="2024"/>
    <n v="11"/>
    <x v="10"/>
    <n v="6"/>
    <x v="1"/>
    <x v="5"/>
  </r>
  <r>
    <d v="2024-12-01T00:00:00"/>
    <n v="477312"/>
    <n v="503223.71"/>
    <n v="393"/>
    <n v="2024"/>
    <n v="12"/>
    <x v="11"/>
    <n v="7"/>
    <x v="1"/>
    <x v="6"/>
  </r>
  <r>
    <d v="2024-12-02T00:00:00"/>
    <n v="495338"/>
    <n v="504594.57"/>
    <n v="411"/>
    <n v="2024"/>
    <n v="12"/>
    <x v="11"/>
    <n v="1"/>
    <x v="0"/>
    <x v="0"/>
  </r>
  <r>
    <d v="2024-12-03T00:00:00"/>
    <n v="465560"/>
    <n v="497977.14"/>
    <n v="394"/>
    <n v="2024"/>
    <n v="12"/>
    <x v="11"/>
    <n v="2"/>
    <x v="0"/>
    <x v="1"/>
  </r>
  <r>
    <d v="2024-12-04T00:00:00"/>
    <n v="510713"/>
    <n v="496857.57"/>
    <n v="391"/>
    <n v="2024"/>
    <n v="12"/>
    <x v="11"/>
    <n v="3"/>
    <x v="0"/>
    <x v="2"/>
  </r>
  <r>
    <d v="2024-12-05T00:00:00"/>
    <n v="543006"/>
    <n v="495906.86"/>
    <n v="430"/>
    <n v="2024"/>
    <n v="12"/>
    <x v="11"/>
    <n v="4"/>
    <x v="0"/>
    <x v="3"/>
  </r>
  <r>
    <d v="2024-12-06T00:00:00"/>
    <n v="517365"/>
    <n v="499080.14"/>
    <n v="417"/>
    <n v="2024"/>
    <n v="12"/>
    <x v="11"/>
    <n v="5"/>
    <x v="0"/>
    <x v="4"/>
  </r>
  <r>
    <d v="2024-12-07T00:00:00"/>
    <n v="531674"/>
    <n v="505852.57"/>
    <n v="412"/>
    <n v="2024"/>
    <n v="12"/>
    <x v="11"/>
    <n v="6"/>
    <x v="1"/>
    <x v="5"/>
  </r>
  <r>
    <d v="2024-12-08T00:00:00"/>
    <n v="522130"/>
    <n v="512255.14"/>
    <n v="401"/>
    <n v="2024"/>
    <n v="12"/>
    <x v="11"/>
    <n v="7"/>
    <x v="1"/>
    <x v="6"/>
  </r>
  <r>
    <d v="2024-12-09T00:00:00"/>
    <n v="491315"/>
    <n v="511680.43"/>
    <n v="392"/>
    <n v="2024"/>
    <n v="12"/>
    <x v="11"/>
    <n v="1"/>
    <x v="0"/>
    <x v="0"/>
  </r>
  <r>
    <d v="2024-12-10T00:00:00"/>
    <n v="532606"/>
    <n v="521258.43"/>
    <n v="439"/>
    <n v="2024"/>
    <n v="12"/>
    <x v="11"/>
    <n v="2"/>
    <x v="0"/>
    <x v="1"/>
  </r>
  <r>
    <d v="2024-12-11T00:00:00"/>
    <n v="479085"/>
    <n v="516740.14"/>
    <n v="401"/>
    <n v="2024"/>
    <n v="12"/>
    <x v="11"/>
    <n v="3"/>
    <x v="0"/>
    <x v="2"/>
  </r>
  <r>
    <d v="2024-12-12T00:00:00"/>
    <n v="511723"/>
    <n v="512271.14"/>
    <n v="417"/>
    <n v="2024"/>
    <n v="12"/>
    <x v="11"/>
    <n v="4"/>
    <x v="0"/>
    <x v="3"/>
  </r>
  <r>
    <d v="2024-12-13T00:00:00"/>
    <n v="503836"/>
    <n v="510338.43"/>
    <n v="411"/>
    <n v="2024"/>
    <n v="12"/>
    <x v="11"/>
    <n v="5"/>
    <x v="0"/>
    <x v="4"/>
  </r>
  <r>
    <d v="2024-12-14T00:00:00"/>
    <n v="518328"/>
    <n v="508431.86"/>
    <n v="423"/>
    <n v="2024"/>
    <n v="12"/>
    <x v="11"/>
    <n v="6"/>
    <x v="1"/>
    <x v="5"/>
  </r>
  <r>
    <d v="2024-12-15T00:00:00"/>
    <n v="501864"/>
    <n v="505536.71"/>
    <n v="411"/>
    <n v="2024"/>
    <n v="12"/>
    <x v="11"/>
    <n v="7"/>
    <x v="1"/>
    <x v="6"/>
  </r>
  <r>
    <d v="2024-12-16T00:00:00"/>
    <n v="496212"/>
    <n v="506236.29"/>
    <n v="400"/>
    <n v="2024"/>
    <n v="12"/>
    <x v="11"/>
    <n v="1"/>
    <x v="0"/>
    <x v="0"/>
  </r>
  <r>
    <d v="2024-12-17T00:00:00"/>
    <n v="496129"/>
    <n v="501025.29"/>
    <n v="399"/>
    <n v="2024"/>
    <n v="12"/>
    <x v="11"/>
    <n v="2"/>
    <x v="0"/>
    <x v="1"/>
  </r>
  <r>
    <d v="2024-12-18T00:00:00"/>
    <n v="473000"/>
    <n v="500156"/>
    <n v="396"/>
    <n v="2024"/>
    <n v="12"/>
    <x v="11"/>
    <n v="3"/>
    <x v="0"/>
    <x v="2"/>
  </r>
  <r>
    <d v="2024-12-19T00:00:00"/>
    <n v="482199"/>
    <n v="495938.29"/>
    <n v="405"/>
    <n v="2024"/>
    <n v="12"/>
    <x v="11"/>
    <n v="4"/>
    <x v="0"/>
    <x v="3"/>
  </r>
  <r>
    <d v="2024-12-20T00:00:00"/>
    <n v="517347"/>
    <n v="497868.43"/>
    <n v="422"/>
    <n v="2024"/>
    <n v="12"/>
    <x v="11"/>
    <n v="5"/>
    <x v="0"/>
    <x v="4"/>
  </r>
  <r>
    <d v="2024-12-21T00:00:00"/>
    <n v="498825"/>
    <n v="495082.29"/>
    <n v="410"/>
    <n v="2024"/>
    <n v="12"/>
    <x v="11"/>
    <n v="6"/>
    <x v="1"/>
    <x v="5"/>
  </r>
  <r>
    <d v="2024-12-22T00:00:00"/>
    <n v="484601"/>
    <n v="492616.14"/>
    <n v="396"/>
    <n v="2024"/>
    <n v="12"/>
    <x v="11"/>
    <n v="7"/>
    <x v="1"/>
    <x v="6"/>
  </r>
  <r>
    <d v="2024-12-23T00:00:00"/>
    <n v="559182"/>
    <n v="501611.86"/>
    <n v="421"/>
    <n v="2024"/>
    <n v="12"/>
    <x v="11"/>
    <n v="1"/>
    <x v="0"/>
    <x v="0"/>
  </r>
  <r>
    <d v="2024-12-24T00:00:00"/>
    <n v="525297"/>
    <n v="505778.71"/>
    <n v="429"/>
    <n v="2024"/>
    <n v="12"/>
    <x v="11"/>
    <n v="2"/>
    <x v="0"/>
    <x v="1"/>
  </r>
  <r>
    <d v="2024-12-25T00:00:00"/>
    <n v="569116"/>
    <n v="519509.57"/>
    <n v="427"/>
    <n v="2024"/>
    <n v="12"/>
    <x v="11"/>
    <n v="3"/>
    <x v="0"/>
    <x v="2"/>
  </r>
  <r>
    <d v="2024-12-26T00:00:00"/>
    <n v="470470"/>
    <n v="517834"/>
    <n v="380"/>
    <n v="2024"/>
    <n v="12"/>
    <x v="11"/>
    <n v="4"/>
    <x v="0"/>
    <x v="3"/>
  </r>
  <r>
    <d v="2024-12-27T00:00:00"/>
    <n v="539102"/>
    <n v="520941.86"/>
    <n v="442"/>
    <n v="2024"/>
    <n v="12"/>
    <x v="11"/>
    <n v="5"/>
    <x v="0"/>
    <x v="4"/>
  </r>
  <r>
    <d v="2024-12-28T00:00:00"/>
    <n v="481522"/>
    <n v="518470"/>
    <n v="390"/>
    <n v="2024"/>
    <n v="12"/>
    <x v="11"/>
    <n v="6"/>
    <x v="1"/>
    <x v="5"/>
  </r>
  <r>
    <d v="2024-12-29T00:00:00"/>
    <n v="516110"/>
    <n v="522971.29"/>
    <n v="397"/>
    <n v="2024"/>
    <n v="12"/>
    <x v="11"/>
    <n v="7"/>
    <x v="1"/>
    <x v="6"/>
  </r>
  <r>
    <d v="2024-12-30T00:00:00"/>
    <n v="503805"/>
    <n v="515060.29"/>
    <n v="399"/>
    <n v="2024"/>
    <n v="12"/>
    <x v="11"/>
    <n v="1"/>
    <x v="0"/>
    <x v="0"/>
  </r>
  <r>
    <d v="2024-12-31T00:00:00"/>
    <n v="481959"/>
    <n v="508869.14"/>
    <n v="377"/>
    <n v="2024"/>
    <n v="12"/>
    <x v="11"/>
    <n v="2"/>
    <x v="0"/>
    <x v="1"/>
  </r>
  <r>
    <d v="2025-01-01T00:00:00"/>
    <n v="498367"/>
    <n v="498762.14"/>
    <n v="393"/>
    <n v="2025"/>
    <n v="1"/>
    <x v="12"/>
    <n v="3"/>
    <x v="0"/>
    <x v="2"/>
  </r>
  <r>
    <d v="2025-01-02T00:00:00"/>
    <n v="508958"/>
    <n v="504260.43"/>
    <n v="408"/>
    <n v="2025"/>
    <n v="1"/>
    <x v="12"/>
    <n v="4"/>
    <x v="0"/>
    <x v="3"/>
  </r>
  <r>
    <d v="2025-01-03T00:00:00"/>
    <n v="537396"/>
    <n v="504016.71"/>
    <n v="443"/>
    <n v="2025"/>
    <n v="1"/>
    <x v="12"/>
    <n v="5"/>
    <x v="0"/>
    <x v="4"/>
  </r>
  <r>
    <d v="2025-01-04T00:00:00"/>
    <n v="480913"/>
    <n v="503929.71"/>
    <n v="390"/>
    <n v="2025"/>
    <n v="1"/>
    <x v="12"/>
    <n v="6"/>
    <x v="1"/>
    <x v="5"/>
  </r>
  <r>
    <d v="2025-01-05T00:00:00"/>
    <n v="498233"/>
    <n v="501375.86"/>
    <n v="408"/>
    <n v="2025"/>
    <n v="1"/>
    <x v="12"/>
    <n v="7"/>
    <x v="1"/>
    <x v="6"/>
  </r>
  <r>
    <d v="2025-01-06T00:00:00"/>
    <n v="533209"/>
    <n v="505576.43"/>
    <n v="413"/>
    <n v="2025"/>
    <n v="1"/>
    <x v="12"/>
    <n v="1"/>
    <x v="0"/>
    <x v="0"/>
  </r>
  <r>
    <d v="2025-01-07T00:00:00"/>
    <n v="489414"/>
    <n v="506641.43"/>
    <n v="393"/>
    <n v="2025"/>
    <n v="1"/>
    <x v="12"/>
    <n v="2"/>
    <x v="0"/>
    <x v="1"/>
  </r>
  <r>
    <d v="2025-01-08T00:00:00"/>
    <n v="553562"/>
    <n v="514526.43"/>
    <n v="423"/>
    <n v="2025"/>
    <n v="1"/>
    <x v="12"/>
    <n v="3"/>
    <x v="0"/>
    <x v="2"/>
  </r>
  <r>
    <d v="2025-01-09T00:00:00"/>
    <n v="483215"/>
    <n v="510848.86"/>
    <n v="420"/>
    <n v="2025"/>
    <n v="1"/>
    <x v="12"/>
    <n v="4"/>
    <x v="0"/>
    <x v="3"/>
  </r>
  <r>
    <d v="2025-01-10T00:00:00"/>
    <n v="538291"/>
    <n v="510976.71"/>
    <n v="430"/>
    <n v="2025"/>
    <n v="1"/>
    <x v="12"/>
    <n v="5"/>
    <x v="0"/>
    <x v="4"/>
  </r>
  <r>
    <d v="2025-01-11T00:00:00"/>
    <n v="547637"/>
    <n v="520508.71"/>
    <n v="431"/>
    <n v="2025"/>
    <n v="1"/>
    <x v="12"/>
    <n v="6"/>
    <x v="1"/>
    <x v="5"/>
  </r>
  <r>
    <d v="2025-01-12T00:00:00"/>
    <n v="479493"/>
    <n v="517831.57"/>
    <n v="374"/>
    <n v="2025"/>
    <n v="1"/>
    <x v="12"/>
    <n v="7"/>
    <x v="1"/>
    <x v="6"/>
  </r>
  <r>
    <d v="2025-01-13T00:00:00"/>
    <n v="513556"/>
    <n v="515024"/>
    <n v="397"/>
    <n v="2025"/>
    <n v="1"/>
    <x v="12"/>
    <n v="1"/>
    <x v="0"/>
    <x v="0"/>
  </r>
  <r>
    <d v="2025-01-14T00:00:00"/>
    <n v="544235"/>
    <n v="522855.57"/>
    <n v="419"/>
    <n v="2025"/>
    <n v="1"/>
    <x v="12"/>
    <n v="2"/>
    <x v="0"/>
    <x v="1"/>
  </r>
  <r>
    <d v="2025-01-15T00:00:00"/>
    <n v="462065"/>
    <n v="509784.57"/>
    <n v="387"/>
    <n v="2025"/>
    <n v="1"/>
    <x v="12"/>
    <n v="3"/>
    <x v="0"/>
    <x v="2"/>
  </r>
  <r>
    <d v="2025-01-16T00:00:00"/>
    <n v="514095"/>
    <n v="514196"/>
    <n v="422"/>
    <n v="2025"/>
    <n v="1"/>
    <x v="12"/>
    <n v="4"/>
    <x v="0"/>
    <x v="3"/>
  </r>
  <r>
    <d v="2025-01-17T00:00:00"/>
    <n v="519834"/>
    <n v="511559.29"/>
    <n v="420"/>
    <n v="2025"/>
    <n v="1"/>
    <x v="12"/>
    <n v="5"/>
    <x v="0"/>
    <x v="4"/>
  </r>
  <r>
    <d v="2025-01-18T00:00:00"/>
    <n v="509783"/>
    <n v="506151.57"/>
    <n v="416"/>
    <n v="2025"/>
    <n v="1"/>
    <x v="12"/>
    <n v="6"/>
    <x v="1"/>
    <x v="5"/>
  </r>
  <r>
    <d v="2025-01-19T00:00:00"/>
    <n v="549050"/>
    <n v="516088.29"/>
    <n v="432"/>
    <n v="2025"/>
    <n v="1"/>
    <x v="12"/>
    <n v="7"/>
    <x v="1"/>
    <x v="6"/>
  </r>
  <r>
    <d v="2025-01-20T00:00:00"/>
    <n v="525203"/>
    <n v="517752.14"/>
    <n v="436"/>
    <n v="2025"/>
    <n v="1"/>
    <x v="12"/>
    <n v="1"/>
    <x v="0"/>
    <x v="0"/>
  </r>
  <r>
    <d v="2025-01-21T00:00:00"/>
    <n v="510486"/>
    <n v="512930.86"/>
    <n v="422"/>
    <n v="2025"/>
    <n v="1"/>
    <x v="12"/>
    <n v="2"/>
    <x v="0"/>
    <x v="1"/>
  </r>
  <r>
    <d v="2025-01-22T00:00:00"/>
    <n v="538675"/>
    <n v="523875.14"/>
    <n v="413"/>
    <n v="2025"/>
    <n v="1"/>
    <x v="12"/>
    <n v="3"/>
    <x v="0"/>
    <x v="2"/>
  </r>
  <r>
    <d v="2025-01-23T00:00:00"/>
    <n v="501431"/>
    <n v="522066"/>
    <n v="402"/>
    <n v="2025"/>
    <n v="1"/>
    <x v="12"/>
    <n v="4"/>
    <x v="0"/>
    <x v="3"/>
  </r>
  <r>
    <d v="2025-01-24T00:00:00"/>
    <n v="479542"/>
    <n v="516310"/>
    <n v="378"/>
    <n v="2025"/>
    <n v="1"/>
    <x v="12"/>
    <n v="5"/>
    <x v="0"/>
    <x v="4"/>
  </r>
  <r>
    <d v="2025-01-25T00:00:00"/>
    <n v="491543"/>
    <n v="513704.29"/>
    <n v="392"/>
    <n v="2025"/>
    <n v="1"/>
    <x v="12"/>
    <n v="6"/>
    <x v="1"/>
    <x v="5"/>
  </r>
  <r>
    <d v="2025-01-26T00:00:00"/>
    <n v="493493"/>
    <n v="505767.57"/>
    <n v="414"/>
    <n v="2025"/>
    <n v="1"/>
    <x v="12"/>
    <n v="7"/>
    <x v="1"/>
    <x v="6"/>
  </r>
  <r>
    <d v="2025-01-27T00:00:00"/>
    <n v="492755"/>
    <n v="501132.14"/>
    <n v="393"/>
    <n v="2025"/>
    <n v="1"/>
    <x v="12"/>
    <n v="1"/>
    <x v="0"/>
    <x v="0"/>
  </r>
  <r>
    <d v="2025-01-28T00:00:00"/>
    <n v="498378"/>
    <n v="499402.43"/>
    <n v="389"/>
    <n v="2025"/>
    <n v="1"/>
    <x v="12"/>
    <n v="2"/>
    <x v="0"/>
    <x v="1"/>
  </r>
  <r>
    <d v="2025-01-29T00:00:00"/>
    <n v="441937"/>
    <n v="485582.71"/>
    <n v="370"/>
    <n v="2025"/>
    <n v="1"/>
    <x v="12"/>
    <n v="3"/>
    <x v="0"/>
    <x v="2"/>
  </r>
  <r>
    <d v="2025-01-30T00:00:00"/>
    <n v="459936"/>
    <n v="479654.86"/>
    <n v="366"/>
    <n v="2025"/>
    <n v="1"/>
    <x v="12"/>
    <n v="4"/>
    <x v="0"/>
    <x v="3"/>
  </r>
  <r>
    <d v="2025-01-31T00:00:00"/>
    <n v="508597"/>
    <n v="483805.57"/>
    <n v="410"/>
    <n v="2025"/>
    <n v="1"/>
    <x v="12"/>
    <n v="5"/>
    <x v="0"/>
    <x v="4"/>
  </r>
  <r>
    <d v="2025-02-01T00:00:00"/>
    <n v="462522"/>
    <n v="479659.71"/>
    <n v="385"/>
    <n v="2025"/>
    <n v="2"/>
    <x v="13"/>
    <n v="6"/>
    <x v="1"/>
    <x v="5"/>
  </r>
  <r>
    <d v="2025-02-02T00:00:00"/>
    <n v="463536"/>
    <n v="475380.14"/>
    <n v="374"/>
    <n v="2025"/>
    <n v="2"/>
    <x v="13"/>
    <n v="7"/>
    <x v="1"/>
    <x v="6"/>
  </r>
  <r>
    <d v="2025-02-03T00:00:00"/>
    <n v="514191"/>
    <n v="478442.43"/>
    <n v="410"/>
    <n v="2025"/>
    <n v="2"/>
    <x v="13"/>
    <n v="1"/>
    <x v="0"/>
    <x v="0"/>
  </r>
  <r>
    <d v="2025-02-04T00:00:00"/>
    <n v="585043"/>
    <n v="490823.14"/>
    <n v="456"/>
    <n v="2025"/>
    <n v="2"/>
    <x v="13"/>
    <n v="2"/>
    <x v="0"/>
    <x v="1"/>
  </r>
  <r>
    <d v="2025-02-05T00:00:00"/>
    <n v="514846"/>
    <n v="501238.71"/>
    <n v="413"/>
    <n v="2025"/>
    <n v="2"/>
    <x v="13"/>
    <n v="3"/>
    <x v="0"/>
    <x v="2"/>
  </r>
  <r>
    <d v="2025-02-06T00:00:00"/>
    <n v="503122"/>
    <n v="507408.14"/>
    <n v="407"/>
    <n v="2025"/>
    <n v="2"/>
    <x v="13"/>
    <n v="4"/>
    <x v="0"/>
    <x v="3"/>
  </r>
  <r>
    <d v="2025-02-07T00:00:00"/>
    <n v="505340"/>
    <n v="506942.86"/>
    <n v="396"/>
    <n v="2025"/>
    <n v="2"/>
    <x v="13"/>
    <n v="5"/>
    <x v="0"/>
    <x v="4"/>
  </r>
  <r>
    <d v="2025-02-08T00:00:00"/>
    <n v="493057"/>
    <n v="511305"/>
    <n v="401"/>
    <n v="2025"/>
    <n v="2"/>
    <x v="13"/>
    <n v="6"/>
    <x v="1"/>
    <x v="5"/>
  </r>
  <r>
    <d v="2025-02-09T00:00:00"/>
    <n v="525137"/>
    <n v="520105.14"/>
    <n v="423"/>
    <n v="2025"/>
    <n v="2"/>
    <x v="13"/>
    <n v="7"/>
    <x v="1"/>
    <x v="6"/>
  </r>
  <r>
    <d v="2025-02-10T00:00:00"/>
    <n v="556444"/>
    <n v="526141.29"/>
    <n v="415"/>
    <n v="2025"/>
    <n v="2"/>
    <x v="13"/>
    <n v="1"/>
    <x v="0"/>
    <x v="0"/>
  </r>
  <r>
    <d v="2025-02-11T00:00:00"/>
    <n v="493098"/>
    <n v="513006.29"/>
    <n v="421"/>
    <n v="2025"/>
    <n v="2"/>
    <x v="13"/>
    <n v="2"/>
    <x v="0"/>
    <x v="1"/>
  </r>
  <r>
    <d v="2025-02-12T00:00:00"/>
    <n v="490128"/>
    <n v="509475.14"/>
    <n v="395"/>
    <n v="2025"/>
    <n v="2"/>
    <x v="13"/>
    <n v="3"/>
    <x v="0"/>
    <x v="2"/>
  </r>
  <r>
    <d v="2025-02-13T00:00:00"/>
    <n v="538813"/>
    <n v="514573.86"/>
    <n v="424"/>
    <n v="2025"/>
    <n v="2"/>
    <x v="13"/>
    <n v="4"/>
    <x v="0"/>
    <x v="3"/>
  </r>
  <r>
    <d v="2025-02-14T00:00:00"/>
    <n v="494034"/>
    <n v="512958.71"/>
    <n v="406"/>
    <n v="2025"/>
    <n v="2"/>
    <x v="13"/>
    <n v="5"/>
    <x v="0"/>
    <x v="4"/>
  </r>
  <r>
    <d v="2025-02-15T00:00:00"/>
    <n v="527139"/>
    <n v="517827.57"/>
    <n v="403"/>
    <n v="2025"/>
    <n v="2"/>
    <x v="13"/>
    <n v="6"/>
    <x v="1"/>
    <x v="5"/>
  </r>
  <r>
    <d v="2025-02-16T00:00:00"/>
    <n v="518427"/>
    <n v="516869"/>
    <n v="404"/>
    <n v="2025"/>
    <n v="2"/>
    <x v="13"/>
    <n v="7"/>
    <x v="1"/>
    <x v="6"/>
  </r>
  <r>
    <d v="2025-02-17T00:00:00"/>
    <n v="500071"/>
    <n v="508815.71"/>
    <n v="398"/>
    <n v="2025"/>
    <n v="2"/>
    <x v="13"/>
    <n v="1"/>
    <x v="0"/>
    <x v="0"/>
  </r>
  <r>
    <d v="2025-02-18T00:00:00"/>
    <n v="439316"/>
    <n v="501132.57"/>
    <n v="368"/>
    <n v="2025"/>
    <n v="2"/>
    <x v="13"/>
    <n v="2"/>
    <x v="0"/>
    <x v="1"/>
  </r>
  <r>
    <d v="2025-02-19T00:00:00"/>
    <n v="521033"/>
    <n v="505547.57"/>
    <n v="413"/>
    <n v="2025"/>
    <n v="2"/>
    <x v="13"/>
    <n v="3"/>
    <x v="0"/>
    <x v="2"/>
  </r>
  <r>
    <d v="2025-02-20T00:00:00"/>
    <n v="558096"/>
    <n v="508302.29"/>
    <n v="436"/>
    <n v="2025"/>
    <n v="2"/>
    <x v="13"/>
    <n v="4"/>
    <x v="0"/>
    <x v="3"/>
  </r>
  <r>
    <d v="2025-02-21T00:00:00"/>
    <n v="506210"/>
    <n v="510041.71"/>
    <n v="402"/>
    <n v="2025"/>
    <n v="2"/>
    <x v="13"/>
    <n v="5"/>
    <x v="0"/>
    <x v="4"/>
  </r>
  <r>
    <d v="2025-02-22T00:00:00"/>
    <n v="440095"/>
    <n v="497606.86"/>
    <n v="344"/>
    <n v="2025"/>
    <n v="2"/>
    <x v="13"/>
    <n v="6"/>
    <x v="1"/>
    <x v="5"/>
  </r>
  <r>
    <d v="2025-02-23T00:00:00"/>
    <n v="501278"/>
    <n v="495157"/>
    <n v="389"/>
    <n v="2025"/>
    <n v="2"/>
    <x v="13"/>
    <n v="7"/>
    <x v="1"/>
    <x v="6"/>
  </r>
  <r>
    <d v="2025-02-24T00:00:00"/>
    <n v="555432"/>
    <n v="503065.71"/>
    <n v="442"/>
    <n v="2025"/>
    <n v="2"/>
    <x v="13"/>
    <n v="1"/>
    <x v="0"/>
    <x v="0"/>
  </r>
  <r>
    <d v="2025-02-25T00:00:00"/>
    <n v="519998"/>
    <n v="514591.71"/>
    <n v="438"/>
    <n v="2025"/>
    <n v="2"/>
    <x v="13"/>
    <n v="2"/>
    <x v="0"/>
    <x v="1"/>
  </r>
  <r>
    <d v="2025-02-26T00:00:00"/>
    <n v="555366"/>
    <n v="519496.43"/>
    <n v="457"/>
    <n v="2025"/>
    <n v="2"/>
    <x v="13"/>
    <n v="3"/>
    <x v="0"/>
    <x v="2"/>
  </r>
  <r>
    <d v="2025-02-27T00:00:00"/>
    <n v="472330"/>
    <n v="507244.14"/>
    <n v="377"/>
    <n v="2025"/>
    <n v="2"/>
    <x v="13"/>
    <n v="4"/>
    <x v="0"/>
    <x v="3"/>
  </r>
  <r>
    <d v="2025-02-28T00:00:00"/>
    <n v="535730"/>
    <n v="511461.29"/>
    <n v="434"/>
    <n v="2025"/>
    <n v="2"/>
    <x v="13"/>
    <n v="5"/>
    <x v="0"/>
    <x v="4"/>
  </r>
  <r>
    <d v="2025-03-01T00:00:00"/>
    <n v="470788"/>
    <n v="515846"/>
    <n v="405"/>
    <n v="2025"/>
    <n v="3"/>
    <x v="14"/>
    <n v="6"/>
    <x v="1"/>
    <x v="5"/>
  </r>
  <r>
    <d v="2025-03-02T00:00:00"/>
    <n v="532517"/>
    <n v="520308.71"/>
    <n v="422"/>
    <n v="2025"/>
    <n v="3"/>
    <x v="14"/>
    <n v="7"/>
    <x v="1"/>
    <x v="6"/>
  </r>
  <r>
    <d v="2025-03-03T00:00:00"/>
    <n v="489096"/>
    <n v="510832.14"/>
    <n v="410"/>
    <n v="2025"/>
    <n v="3"/>
    <x v="14"/>
    <n v="1"/>
    <x v="0"/>
    <x v="0"/>
  </r>
  <r>
    <d v="2025-03-04T00:00:00"/>
    <n v="540772"/>
    <n v="513799.86"/>
    <n v="414"/>
    <n v="2025"/>
    <n v="3"/>
    <x v="14"/>
    <n v="2"/>
    <x v="0"/>
    <x v="1"/>
  </r>
  <r>
    <d v="2025-03-05T00:00:00"/>
    <n v="528772"/>
    <n v="510000.71"/>
    <n v="439"/>
    <n v="2025"/>
    <n v="3"/>
    <x v="14"/>
    <n v="3"/>
    <x v="0"/>
    <x v="2"/>
  </r>
  <r>
    <d v="2025-03-06T00:00:00"/>
    <n v="484586"/>
    <n v="511751.57"/>
    <n v="407"/>
    <n v="2025"/>
    <n v="3"/>
    <x v="14"/>
    <n v="4"/>
    <x v="0"/>
    <x v="3"/>
  </r>
  <r>
    <d v="2025-03-07T00:00:00"/>
    <n v="494657"/>
    <n v="505884"/>
    <n v="403"/>
    <n v="2025"/>
    <n v="3"/>
    <x v="14"/>
    <n v="5"/>
    <x v="0"/>
    <x v="4"/>
  </r>
  <r>
    <d v="2025-03-08T00:00:00"/>
    <n v="513825"/>
    <n v="512032.14"/>
    <n v="404"/>
    <n v="2025"/>
    <n v="3"/>
    <x v="14"/>
    <n v="6"/>
    <x v="1"/>
    <x v="5"/>
  </r>
  <r>
    <d v="2025-03-09T00:00:00"/>
    <n v="495975"/>
    <n v="506811.86"/>
    <n v="400"/>
    <n v="2025"/>
    <n v="3"/>
    <x v="14"/>
    <n v="7"/>
    <x v="1"/>
    <x v="6"/>
  </r>
  <r>
    <d v="2025-03-10T00:00:00"/>
    <n v="585061"/>
    <n v="520521.14"/>
    <n v="460"/>
    <n v="2025"/>
    <n v="3"/>
    <x v="14"/>
    <n v="1"/>
    <x v="0"/>
    <x v="0"/>
  </r>
  <r>
    <d v="2025-03-11T00:00:00"/>
    <n v="507459"/>
    <n v="515762.14"/>
    <n v="404"/>
    <n v="2025"/>
    <n v="3"/>
    <x v="14"/>
    <n v="2"/>
    <x v="0"/>
    <x v="1"/>
  </r>
  <r>
    <d v="2025-03-12T00:00:00"/>
    <n v="545042"/>
    <n v="518086.43"/>
    <n v="433"/>
    <n v="2025"/>
    <n v="3"/>
    <x v="14"/>
    <n v="3"/>
    <x v="0"/>
    <x v="2"/>
  </r>
  <r>
    <d v="2025-03-13T00:00:00"/>
    <n v="473809"/>
    <n v="516546.86"/>
    <n v="386"/>
    <n v="2025"/>
    <n v="3"/>
    <x v="14"/>
    <n v="4"/>
    <x v="0"/>
    <x v="3"/>
  </r>
  <r>
    <d v="2025-03-14T00:00:00"/>
    <n v="530590"/>
    <n v="521680.14"/>
    <n v="424"/>
    <n v="2025"/>
    <n v="3"/>
    <x v="14"/>
    <n v="5"/>
    <x v="0"/>
    <x v="4"/>
  </r>
  <r>
    <d v="2025-03-15T00:00:00"/>
    <n v="501679"/>
    <n v="519945"/>
    <n v="410"/>
    <n v="2025"/>
    <n v="3"/>
    <x v="14"/>
    <n v="6"/>
    <x v="1"/>
    <x v="5"/>
  </r>
  <r>
    <d v="2025-03-16T00:00:00"/>
    <n v="494552"/>
    <n v="519741.71"/>
    <n v="397"/>
    <n v="2025"/>
    <n v="3"/>
    <x v="14"/>
    <n v="7"/>
    <x v="1"/>
    <x v="6"/>
  </r>
  <r>
    <d v="2025-03-17T00:00:00"/>
    <n v="529698"/>
    <n v="511832.71"/>
    <n v="418"/>
    <n v="2025"/>
    <n v="3"/>
    <x v="14"/>
    <n v="1"/>
    <x v="0"/>
    <x v="0"/>
  </r>
  <r>
    <d v="2025-03-18T00:00:00"/>
    <n v="497218"/>
    <n v="510369.71"/>
    <n v="413"/>
    <n v="2025"/>
    <n v="3"/>
    <x v="14"/>
    <n v="2"/>
    <x v="0"/>
    <x v="1"/>
  </r>
  <r>
    <d v="2025-03-19T00:00:00"/>
    <n v="538128"/>
    <n v="509382"/>
    <n v="432"/>
    <n v="2025"/>
    <n v="3"/>
    <x v="14"/>
    <n v="3"/>
    <x v="0"/>
    <x v="2"/>
  </r>
  <r>
    <d v="2025-03-20T00:00:00"/>
    <n v="490281"/>
    <n v="511735.14"/>
    <n v="386"/>
    <n v="2025"/>
    <n v="3"/>
    <x v="14"/>
    <n v="4"/>
    <x v="0"/>
    <x v="3"/>
  </r>
  <r>
    <d v="2025-03-21T00:00:00"/>
    <n v="521907"/>
    <n v="510494.71"/>
    <n v="415"/>
    <n v="2025"/>
    <n v="3"/>
    <x v="14"/>
    <n v="5"/>
    <x v="0"/>
    <x v="4"/>
  </r>
  <r>
    <d v="2025-03-22T00:00:00"/>
    <n v="530920"/>
    <n v="514672"/>
    <n v="435"/>
    <n v="2025"/>
    <n v="3"/>
    <x v="14"/>
    <n v="6"/>
    <x v="1"/>
    <x v="5"/>
  </r>
  <r>
    <d v="2025-03-23T00:00:00"/>
    <n v="493730"/>
    <n v="514554.57"/>
    <n v="380"/>
    <n v="2025"/>
    <n v="3"/>
    <x v="14"/>
    <n v="7"/>
    <x v="1"/>
    <x v="6"/>
  </r>
  <r>
    <d v="2025-03-24T00:00:00"/>
    <n v="497562"/>
    <n v="509963.71"/>
    <n v="402"/>
    <n v="2025"/>
    <n v="3"/>
    <x v="14"/>
    <n v="1"/>
    <x v="0"/>
    <x v="0"/>
  </r>
  <r>
    <d v="2025-03-25T00:00:00"/>
    <n v="521679"/>
    <n v="513458.14"/>
    <n v="416"/>
    <n v="2025"/>
    <n v="3"/>
    <x v="14"/>
    <n v="2"/>
    <x v="0"/>
    <x v="1"/>
  </r>
  <r>
    <d v="2025-03-26T00:00:00"/>
    <n v="552014"/>
    <n v="515441.86"/>
    <n v="440"/>
    <n v="2025"/>
    <n v="3"/>
    <x v="14"/>
    <n v="3"/>
    <x v="0"/>
    <x v="2"/>
  </r>
  <r>
    <d v="2025-03-27T00:00:00"/>
    <n v="553432"/>
    <n v="524463.43000000005"/>
    <n v="428"/>
    <n v="2025"/>
    <n v="3"/>
    <x v="14"/>
    <n v="4"/>
    <x v="0"/>
    <x v="3"/>
  </r>
  <r>
    <d v="2025-03-28T00:00:00"/>
    <n v="539843"/>
    <n v="527025.71"/>
    <n v="419"/>
    <n v="2025"/>
    <n v="3"/>
    <x v="14"/>
    <n v="5"/>
    <x v="0"/>
    <x v="4"/>
  </r>
  <r>
    <d v="2025-03-29T00:00:00"/>
    <n v="504360"/>
    <n v="523231.43"/>
    <n v="405"/>
    <n v="2025"/>
    <n v="3"/>
    <x v="14"/>
    <n v="6"/>
    <x v="1"/>
    <x v="5"/>
  </r>
  <r>
    <d v="2025-03-30T00:00:00"/>
    <n v="549321"/>
    <n v="531173"/>
    <n v="423"/>
    <n v="2025"/>
    <n v="3"/>
    <x v="14"/>
    <n v="7"/>
    <x v="1"/>
    <x v="6"/>
  </r>
  <r>
    <d v="2025-03-31T00:00:00"/>
    <n v="496668"/>
    <n v="531045.29"/>
    <n v="391"/>
    <n v="2025"/>
    <n v="3"/>
    <x v="14"/>
    <n v="1"/>
    <x v="0"/>
    <x v="0"/>
  </r>
  <r>
    <d v="2025-04-01T00:00:00"/>
    <n v="512661"/>
    <n v="529757"/>
    <n v="418"/>
    <n v="2025"/>
    <n v="4"/>
    <x v="15"/>
    <n v="2"/>
    <x v="0"/>
    <x v="1"/>
  </r>
  <r>
    <d v="2025-04-02T00:00:00"/>
    <n v="514737"/>
    <n v="524431.71"/>
    <n v="404"/>
    <n v="2025"/>
    <n v="4"/>
    <x v="15"/>
    <n v="3"/>
    <x v="0"/>
    <x v="2"/>
  </r>
  <r>
    <d v="2025-04-03T00:00:00"/>
    <n v="550582"/>
    <n v="524024.57"/>
    <n v="459"/>
    <n v="2025"/>
    <n v="4"/>
    <x v="15"/>
    <n v="4"/>
    <x v="0"/>
    <x v="3"/>
  </r>
  <r>
    <d v="2025-04-04T00:00:00"/>
    <n v="531611"/>
    <n v="522848.57"/>
    <n v="419"/>
    <n v="2025"/>
    <n v="4"/>
    <x v="15"/>
    <n v="5"/>
    <x v="0"/>
    <x v="4"/>
  </r>
  <r>
    <d v="2025-04-05T00:00:00"/>
    <n v="471090"/>
    <n v="518095.71"/>
    <n v="370"/>
    <n v="2025"/>
    <n v="4"/>
    <x v="15"/>
    <n v="6"/>
    <x v="1"/>
    <x v="5"/>
  </r>
  <r>
    <d v="2025-04-06T00:00:00"/>
    <n v="485584"/>
    <n v="508990.43"/>
    <n v="402"/>
    <n v="2025"/>
    <n v="4"/>
    <x v="15"/>
    <n v="7"/>
    <x v="1"/>
    <x v="6"/>
  </r>
  <r>
    <d v="2025-04-07T00:00:00"/>
    <n v="468575"/>
    <n v="504977.14"/>
    <n v="395"/>
    <n v="2025"/>
    <n v="4"/>
    <x v="15"/>
    <n v="1"/>
    <x v="0"/>
    <x v="0"/>
  </r>
  <r>
    <d v="2025-04-08T00:00:00"/>
    <n v="522478"/>
    <n v="506379.57"/>
    <n v="408"/>
    <n v="2025"/>
    <n v="4"/>
    <x v="15"/>
    <n v="2"/>
    <x v="0"/>
    <x v="1"/>
  </r>
  <r>
    <d v="2025-04-09T00:00:00"/>
    <n v="502347"/>
    <n v="504609.57"/>
    <n v="426"/>
    <n v="2025"/>
    <n v="4"/>
    <x v="15"/>
    <n v="3"/>
    <x v="0"/>
    <x v="2"/>
  </r>
  <r>
    <d v="2025-04-10T00:00:00"/>
    <n v="474924"/>
    <n v="493801.29"/>
    <n v="396"/>
    <n v="2025"/>
    <n v="4"/>
    <x v="15"/>
    <n v="4"/>
    <x v="0"/>
    <x v="3"/>
  </r>
  <r>
    <d v="2025-04-11T00:00:00"/>
    <n v="566748"/>
    <n v="498820.86"/>
    <n v="443"/>
    <n v="2025"/>
    <n v="4"/>
    <x v="15"/>
    <n v="5"/>
    <x v="0"/>
    <x v="4"/>
  </r>
  <r>
    <d v="2025-04-12T00:00:00"/>
    <n v="510975"/>
    <n v="504518.71"/>
    <n v="411"/>
    <n v="2025"/>
    <n v="4"/>
    <x v="15"/>
    <n v="6"/>
    <x v="1"/>
    <x v="5"/>
  </r>
  <r>
    <d v="2025-04-13T00:00:00"/>
    <n v="482759"/>
    <n v="504115.14"/>
    <n v="396"/>
    <n v="2025"/>
    <n v="4"/>
    <x v="15"/>
    <n v="7"/>
    <x v="1"/>
    <x v="6"/>
  </r>
  <r>
    <d v="2025-04-14T00:00:00"/>
    <n v="512014"/>
    <n v="510320.71"/>
    <n v="423"/>
    <n v="2025"/>
    <n v="4"/>
    <x v="15"/>
    <n v="1"/>
    <x v="0"/>
    <x v="0"/>
  </r>
  <r>
    <d v="2025-04-15T00:00:00"/>
    <n v="475405"/>
    <n v="503596"/>
    <n v="383"/>
    <n v="2025"/>
    <n v="4"/>
    <x v="15"/>
    <n v="2"/>
    <x v="0"/>
    <x v="1"/>
  </r>
  <r>
    <d v="2025-04-16T00:00:00"/>
    <n v="540607"/>
    <n v="509061.71"/>
    <n v="428"/>
    <n v="2025"/>
    <n v="4"/>
    <x v="15"/>
    <n v="3"/>
    <x v="0"/>
    <x v="2"/>
  </r>
  <r>
    <d v="2025-04-17T00:00:00"/>
    <n v="510941"/>
    <n v="514207"/>
    <n v="418"/>
    <n v="2025"/>
    <n v="4"/>
    <x v="15"/>
    <n v="4"/>
    <x v="0"/>
    <x v="3"/>
  </r>
  <r>
    <d v="2025-04-18T00:00:00"/>
    <n v="470564"/>
    <n v="500466.43"/>
    <n v="389"/>
    <n v="2025"/>
    <n v="4"/>
    <x v="15"/>
    <n v="5"/>
    <x v="0"/>
    <x v="4"/>
  </r>
  <r>
    <d v="2025-04-19T00:00:00"/>
    <n v="541804"/>
    <n v="504870.57"/>
    <n v="420"/>
    <n v="2025"/>
    <n v="4"/>
    <x v="15"/>
    <n v="6"/>
    <x v="1"/>
    <x v="5"/>
  </r>
  <r>
    <d v="2025-04-20T00:00:00"/>
    <n v="526592"/>
    <n v="511132.43"/>
    <n v="402"/>
    <n v="2025"/>
    <n v="4"/>
    <x v="15"/>
    <n v="7"/>
    <x v="1"/>
    <x v="6"/>
  </r>
  <r>
    <d v="2025-04-21T00:00:00"/>
    <n v="479127"/>
    <n v="506434.29"/>
    <n v="400"/>
    <n v="2025"/>
    <n v="4"/>
    <x v="15"/>
    <n v="1"/>
    <x v="0"/>
    <x v="0"/>
  </r>
  <r>
    <d v="2025-04-22T00:00:00"/>
    <n v="503969"/>
    <n v="510514.86"/>
    <n v="401"/>
    <n v="2025"/>
    <n v="4"/>
    <x v="15"/>
    <n v="2"/>
    <x v="0"/>
    <x v="1"/>
  </r>
  <r>
    <d v="2025-04-23T00:00:00"/>
    <n v="521815"/>
    <n v="507830.29"/>
    <n v="416"/>
    <n v="2025"/>
    <n v="4"/>
    <x v="15"/>
    <n v="3"/>
    <x v="0"/>
    <x v="2"/>
  </r>
  <r>
    <d v="2025-04-24T00:00:00"/>
    <n v="492353"/>
    <n v="505174.86"/>
    <n v="401"/>
    <n v="2025"/>
    <n v="4"/>
    <x v="15"/>
    <n v="4"/>
    <x v="0"/>
    <x v="3"/>
  </r>
  <r>
    <d v="2025-04-25T00:00:00"/>
    <n v="515125"/>
    <n v="511540.71"/>
    <n v="409"/>
    <n v="2025"/>
    <n v="4"/>
    <x v="15"/>
    <n v="5"/>
    <x v="0"/>
    <x v="4"/>
  </r>
  <r>
    <d v="2025-04-26T00:00:00"/>
    <n v="484927"/>
    <n v="503415.43"/>
    <n v="387"/>
    <n v="2025"/>
    <n v="4"/>
    <x v="15"/>
    <n v="6"/>
    <x v="1"/>
    <x v="5"/>
  </r>
  <r>
    <d v="2025-04-27T00:00:00"/>
    <n v="522955"/>
    <n v="502895.86"/>
    <n v="426"/>
    <n v="2025"/>
    <n v="4"/>
    <x v="15"/>
    <n v="7"/>
    <x v="1"/>
    <x v="6"/>
  </r>
  <r>
    <d v="2025-04-28T00:00:00"/>
    <n v="520959"/>
    <n v="508871.86"/>
    <n v="410"/>
    <n v="2025"/>
    <n v="4"/>
    <x v="15"/>
    <n v="1"/>
    <x v="0"/>
    <x v="0"/>
  </r>
  <r>
    <d v="2025-04-29T00:00:00"/>
    <n v="561066"/>
    <n v="517028.57"/>
    <n v="450"/>
    <n v="2025"/>
    <n v="4"/>
    <x v="15"/>
    <n v="2"/>
    <x v="0"/>
    <x v="1"/>
  </r>
  <r>
    <d v="2025-04-30T00:00:00"/>
    <n v="488490"/>
    <n v="512267.86"/>
    <n v="407"/>
    <n v="2025"/>
    <n v="4"/>
    <x v="15"/>
    <n v="3"/>
    <x v="0"/>
    <x v="2"/>
  </r>
  <r>
    <d v="2025-05-01T00:00:00"/>
    <n v="521935"/>
    <n v="516493.86"/>
    <n v="405"/>
    <n v="2025"/>
    <n v="5"/>
    <x v="16"/>
    <n v="4"/>
    <x v="0"/>
    <x v="3"/>
  </r>
  <r>
    <d v="2025-05-02T00:00:00"/>
    <n v="512998"/>
    <n v="516190"/>
    <n v="405"/>
    <n v="2025"/>
    <n v="5"/>
    <x v="16"/>
    <n v="5"/>
    <x v="0"/>
    <x v="4"/>
  </r>
  <r>
    <d v="2025-05-03T00:00:00"/>
    <n v="541939"/>
    <n v="524334.56999999995"/>
    <n v="412"/>
    <n v="2025"/>
    <n v="5"/>
    <x v="16"/>
    <n v="6"/>
    <x v="1"/>
    <x v="5"/>
  </r>
  <r>
    <d v="2025-05-04T00:00:00"/>
    <n v="526711"/>
    <n v="524871.14"/>
    <n v="429"/>
    <n v="2025"/>
    <n v="5"/>
    <x v="16"/>
    <n v="7"/>
    <x v="1"/>
    <x v="6"/>
  </r>
  <r>
    <d v="2025-05-05T00:00:00"/>
    <n v="555870"/>
    <n v="529858.43000000005"/>
    <n v="413"/>
    <n v="2025"/>
    <n v="5"/>
    <x v="16"/>
    <n v="1"/>
    <x v="0"/>
    <x v="0"/>
  </r>
  <r>
    <d v="2025-05-06T00:00:00"/>
    <n v="516815"/>
    <n v="523536.86"/>
    <n v="418"/>
    <n v="2025"/>
    <n v="5"/>
    <x v="16"/>
    <n v="2"/>
    <x v="0"/>
    <x v="1"/>
  </r>
  <r>
    <d v="2025-05-07T00:00:00"/>
    <n v="479541"/>
    <n v="522258.43"/>
    <n v="392"/>
    <n v="2025"/>
    <n v="5"/>
    <x v="16"/>
    <n v="3"/>
    <x v="0"/>
    <x v="2"/>
  </r>
  <r>
    <d v="2025-05-08T00:00:00"/>
    <n v="473215"/>
    <n v="515298.43"/>
    <n v="380"/>
    <n v="2025"/>
    <n v="5"/>
    <x v="16"/>
    <n v="4"/>
    <x v="0"/>
    <x v="3"/>
  </r>
  <r>
    <d v="2025-05-09T00:00:00"/>
    <n v="515950"/>
    <n v="515720.14"/>
    <n v="408"/>
    <n v="2025"/>
    <n v="5"/>
    <x v="16"/>
    <n v="5"/>
    <x v="0"/>
    <x v="4"/>
  </r>
  <r>
    <d v="2025-05-10T00:00:00"/>
    <n v="488214"/>
    <n v="508045.14"/>
    <n v="390"/>
    <n v="2025"/>
    <n v="5"/>
    <x v="16"/>
    <n v="6"/>
    <x v="1"/>
    <x v="5"/>
  </r>
  <r>
    <d v="2025-05-11T00:00:00"/>
    <n v="534842"/>
    <n v="509206.71"/>
    <n v="427"/>
    <n v="2025"/>
    <n v="5"/>
    <x v="16"/>
    <n v="7"/>
    <x v="1"/>
    <x v="6"/>
  </r>
  <r>
    <d v="2025-05-12T00:00:00"/>
    <n v="485585"/>
    <n v="499166"/>
    <n v="371"/>
    <n v="2025"/>
    <n v="5"/>
    <x v="16"/>
    <n v="1"/>
    <x v="0"/>
    <x v="0"/>
  </r>
  <r>
    <d v="2025-05-13T00:00:00"/>
    <n v="483470"/>
    <n v="494402.43"/>
    <n v="385"/>
    <n v="2025"/>
    <n v="5"/>
    <x v="16"/>
    <n v="2"/>
    <x v="0"/>
    <x v="1"/>
  </r>
  <r>
    <d v="2025-05-14T00:00:00"/>
    <n v="544863"/>
    <n v="503734.14"/>
    <n v="424"/>
    <n v="2025"/>
    <n v="5"/>
    <x v="16"/>
    <n v="3"/>
    <x v="0"/>
    <x v="2"/>
  </r>
  <r>
    <d v="2025-05-15T00:00:00"/>
    <n v="499066"/>
    <n v="507427.14"/>
    <n v="404"/>
    <n v="2025"/>
    <n v="5"/>
    <x v="16"/>
    <n v="4"/>
    <x v="0"/>
    <x v="3"/>
  </r>
  <r>
    <d v="2025-05-16T00:00:00"/>
    <n v="490014"/>
    <n v="503722"/>
    <n v="392"/>
    <n v="2025"/>
    <n v="5"/>
    <x v="16"/>
    <n v="5"/>
    <x v="0"/>
    <x v="4"/>
  </r>
  <r>
    <d v="2025-05-17T00:00:00"/>
    <n v="486979"/>
    <n v="503545.57"/>
    <n v="379"/>
    <n v="2025"/>
    <n v="5"/>
    <x v="16"/>
    <n v="6"/>
    <x v="1"/>
    <x v="5"/>
  </r>
  <r>
    <d v="2025-05-18T00:00:00"/>
    <n v="494299"/>
    <n v="497753.71"/>
    <n v="411"/>
    <n v="2025"/>
    <n v="5"/>
    <x v="16"/>
    <n v="7"/>
    <x v="1"/>
    <x v="6"/>
  </r>
  <r>
    <d v="2025-05-19T00:00:00"/>
    <n v="526290"/>
    <n v="503568.71"/>
    <n v="432"/>
    <n v="2025"/>
    <n v="5"/>
    <x v="16"/>
    <n v="1"/>
    <x v="0"/>
    <x v="0"/>
  </r>
  <r>
    <d v="2025-05-20T00:00:00"/>
    <n v="466961"/>
    <n v="501210.29"/>
    <n v="400"/>
    <n v="2025"/>
    <n v="5"/>
    <x v="16"/>
    <n v="2"/>
    <x v="0"/>
    <x v="1"/>
  </r>
  <r>
    <d v="2025-05-21T00:00:00"/>
    <n v="547640"/>
    <n v="501607"/>
    <n v="432"/>
    <n v="2025"/>
    <n v="5"/>
    <x v="16"/>
    <n v="3"/>
    <x v="0"/>
    <x v="2"/>
  </r>
  <r>
    <d v="2025-05-22T00:00:00"/>
    <n v="568204"/>
    <n v="511483.86"/>
    <n v="442"/>
    <n v="2025"/>
    <n v="5"/>
    <x v="16"/>
    <n v="4"/>
    <x v="0"/>
    <x v="3"/>
  </r>
  <r>
    <d v="2025-05-23T00:00:00"/>
    <n v="499939"/>
    <n v="512901.71"/>
    <n v="417"/>
    <n v="2025"/>
    <n v="5"/>
    <x v="16"/>
    <n v="5"/>
    <x v="0"/>
    <x v="4"/>
  </r>
  <r>
    <d v="2025-05-24T00:00:00"/>
    <n v="485183"/>
    <n v="512645.14"/>
    <n v="381"/>
    <n v="2025"/>
    <n v="5"/>
    <x v="16"/>
    <n v="6"/>
    <x v="1"/>
    <x v="5"/>
  </r>
  <r>
    <d v="2025-05-25T00:00:00"/>
    <n v="520291"/>
    <n v="516358.29"/>
    <n v="438"/>
    <n v="2025"/>
    <n v="5"/>
    <x v="16"/>
    <n v="7"/>
    <x v="1"/>
    <x v="6"/>
  </r>
  <r>
    <d v="2025-05-26T00:00:00"/>
    <n v="481699"/>
    <n v="509988.14"/>
    <n v="374"/>
    <n v="2025"/>
    <n v="5"/>
    <x v="16"/>
    <n v="1"/>
    <x v="0"/>
    <x v="0"/>
  </r>
  <r>
    <d v="2025-05-27T00:00:00"/>
    <n v="457143"/>
    <n v="508585.57"/>
    <n v="381"/>
    <n v="2025"/>
    <n v="5"/>
    <x v="16"/>
    <n v="2"/>
    <x v="0"/>
    <x v="1"/>
  </r>
  <r>
    <d v="2025-05-28T00:00:00"/>
    <n v="499081"/>
    <n v="501648.57"/>
    <n v="395"/>
    <n v="2025"/>
    <n v="5"/>
    <x v="16"/>
    <n v="3"/>
    <x v="0"/>
    <x v="2"/>
  </r>
  <r>
    <d v="2025-05-29T00:00:00"/>
    <n v="501085"/>
    <n v="492060.14"/>
    <n v="407"/>
    <n v="2025"/>
    <n v="5"/>
    <x v="16"/>
    <n v="4"/>
    <x v="0"/>
    <x v="3"/>
  </r>
  <r>
    <d v="2025-05-30T00:00:00"/>
    <n v="498644"/>
    <n v="491875.14"/>
    <n v="401"/>
    <n v="2025"/>
    <n v="5"/>
    <x v="16"/>
    <n v="5"/>
    <x v="0"/>
    <x v="4"/>
  </r>
  <r>
    <d v="2025-05-31T00:00:00"/>
    <n v="523553"/>
    <n v="497356.57"/>
    <n v="418"/>
    <n v="2025"/>
    <n v="5"/>
    <x v="16"/>
    <n v="6"/>
    <x v="1"/>
    <x v="5"/>
  </r>
  <r>
    <d v="2025-06-01T00:00:00"/>
    <n v="534234"/>
    <n v="499348.43"/>
    <n v="411"/>
    <n v="2025"/>
    <n v="6"/>
    <x v="17"/>
    <n v="7"/>
    <x v="1"/>
    <x v="6"/>
  </r>
  <r>
    <d v="2025-06-02T00:00:00"/>
    <n v="487254"/>
    <n v="500142"/>
    <n v="395"/>
    <n v="2025"/>
    <n v="6"/>
    <x v="17"/>
    <n v="1"/>
    <x v="0"/>
    <x v="0"/>
  </r>
  <r>
    <d v="2025-06-03T00:00:00"/>
    <n v="570464"/>
    <n v="516330.71"/>
    <n v="452"/>
    <n v="2025"/>
    <n v="6"/>
    <x v="17"/>
    <n v="2"/>
    <x v="0"/>
    <x v="1"/>
  </r>
  <r>
    <d v="2025-06-04T00:00:00"/>
    <n v="451255"/>
    <n v="509498.43"/>
    <n v="371"/>
    <n v="2025"/>
    <n v="6"/>
    <x v="17"/>
    <n v="3"/>
    <x v="0"/>
    <x v="2"/>
  </r>
  <r>
    <d v="2025-06-05T00:00:00"/>
    <n v="504117"/>
    <n v="509931.57"/>
    <n v="415"/>
    <n v="2025"/>
    <n v="6"/>
    <x v="17"/>
    <n v="4"/>
    <x v="0"/>
    <x v="3"/>
  </r>
  <r>
    <d v="2025-06-06T00:00:00"/>
    <n v="503672"/>
    <n v="510649.86"/>
    <n v="396"/>
    <n v="2025"/>
    <n v="6"/>
    <x v="17"/>
    <n v="5"/>
    <x v="0"/>
    <x v="4"/>
  </r>
  <r>
    <d v="2025-06-07T00:00:00"/>
    <n v="507391"/>
    <n v="508341"/>
    <n v="385"/>
    <n v="2025"/>
    <n v="6"/>
    <x v="17"/>
    <n v="6"/>
    <x v="1"/>
    <x v="5"/>
  </r>
  <r>
    <d v="2025-06-08T00:00:00"/>
    <n v="490266"/>
    <n v="502059.86"/>
    <n v="408"/>
    <n v="2025"/>
    <n v="6"/>
    <x v="17"/>
    <n v="7"/>
    <x v="1"/>
    <x v="6"/>
  </r>
  <r>
    <d v="2025-06-09T00:00:00"/>
    <n v="546792"/>
    <n v="510565.29"/>
    <n v="423"/>
    <n v="2025"/>
    <n v="6"/>
    <x v="17"/>
    <n v="1"/>
    <x v="0"/>
    <x v="0"/>
  </r>
  <r>
    <d v="2025-06-10T00:00:00"/>
    <n v="508411"/>
    <n v="501700.57"/>
    <n v="407"/>
    <n v="2025"/>
    <n v="6"/>
    <x v="17"/>
    <n v="2"/>
    <x v="0"/>
    <x v="1"/>
  </r>
  <r>
    <d v="2025-06-11T00:00:00"/>
    <n v="509640"/>
    <n v="510041.29"/>
    <n v="409"/>
    <n v="2025"/>
    <n v="6"/>
    <x v="17"/>
    <n v="3"/>
    <x v="0"/>
    <x v="2"/>
  </r>
  <r>
    <d v="2025-06-12T00:00:00"/>
    <n v="490646"/>
    <n v="508116.86"/>
    <n v="401"/>
    <n v="2025"/>
    <n v="6"/>
    <x v="17"/>
    <n v="4"/>
    <x v="0"/>
    <x v="3"/>
  </r>
  <r>
    <d v="2025-06-13T00:00:00"/>
    <n v="524342"/>
    <n v="511069.71"/>
    <n v="416"/>
    <n v="2025"/>
    <n v="6"/>
    <x v="17"/>
    <n v="5"/>
    <x v="0"/>
    <x v="4"/>
  </r>
  <r>
    <d v="2025-06-14T00:00:00"/>
    <n v="515338"/>
    <n v="512205"/>
    <n v="407"/>
    <n v="2025"/>
    <n v="6"/>
    <x v="17"/>
    <n v="6"/>
    <x v="1"/>
    <x v="5"/>
  </r>
  <r>
    <d v="2025-06-15T00:00:00"/>
    <n v="515489"/>
    <n v="515808.29"/>
    <n v="426"/>
    <n v="2025"/>
    <n v="6"/>
    <x v="17"/>
    <n v="7"/>
    <x v="1"/>
    <x v="6"/>
  </r>
  <r>
    <d v="2025-06-16T00:00:00"/>
    <n v="552045"/>
    <n v="516558.71"/>
    <n v="439"/>
    <n v="2025"/>
    <n v="6"/>
    <x v="17"/>
    <n v="1"/>
    <x v="0"/>
    <x v="0"/>
  </r>
  <r>
    <d v="2025-06-17T00:00:00"/>
    <n v="531639"/>
    <n v="519877"/>
    <n v="433"/>
    <n v="2025"/>
    <n v="6"/>
    <x v="17"/>
    <n v="2"/>
    <x v="0"/>
    <x v="1"/>
  </r>
  <r>
    <d v="2025-06-18T00:00:00"/>
    <n v="503177"/>
    <n v="518953.71"/>
    <n v="380"/>
    <n v="2025"/>
    <n v="6"/>
    <x v="17"/>
    <n v="3"/>
    <x v="0"/>
    <x v="2"/>
  </r>
  <r>
    <d v="2025-06-19T00:00:00"/>
    <n v="551257"/>
    <n v="527612.43000000005"/>
    <n v="422"/>
    <n v="2025"/>
    <n v="6"/>
    <x v="17"/>
    <n v="4"/>
    <x v="0"/>
    <x v="3"/>
  </r>
  <r>
    <d v="2025-06-20T00:00:00"/>
    <n v="482076"/>
    <n v="521574.43"/>
    <n v="398"/>
    <n v="2025"/>
    <n v="6"/>
    <x v="17"/>
    <n v="5"/>
    <x v="0"/>
    <x v="4"/>
  </r>
  <r>
    <d v="2025-06-21T00:00:00"/>
    <n v="505181"/>
    <n v="520123.43"/>
    <n v="410"/>
    <n v="2025"/>
    <n v="6"/>
    <x v="17"/>
    <n v="6"/>
    <x v="1"/>
    <x v="5"/>
  </r>
  <r>
    <d v="2025-06-22T00:00:00"/>
    <n v="437569"/>
    <n v="508992"/>
    <n v="355"/>
    <n v="2025"/>
    <n v="6"/>
    <x v="17"/>
    <n v="7"/>
    <x v="1"/>
    <x v="6"/>
  </r>
  <r>
    <d v="2025-06-23T00:00:00"/>
    <n v="548856"/>
    <n v="508536.43"/>
    <n v="420"/>
    <n v="2025"/>
    <n v="6"/>
    <x v="17"/>
    <n v="1"/>
    <x v="0"/>
    <x v="0"/>
  </r>
  <r>
    <d v="2025-06-24T00:00:00"/>
    <n v="517620"/>
    <n v="506533.71"/>
    <n v="403"/>
    <n v="2025"/>
    <n v="6"/>
    <x v="17"/>
    <n v="2"/>
    <x v="0"/>
    <x v="1"/>
  </r>
  <r>
    <d v="2025-06-25T00:00:00"/>
    <n v="538790"/>
    <n v="511621.29"/>
    <n v="420"/>
    <n v="2025"/>
    <n v="6"/>
    <x v="17"/>
    <n v="3"/>
    <x v="0"/>
    <x v="2"/>
  </r>
  <r>
    <d v="2025-06-26T00:00:00"/>
    <n v="484523"/>
    <n v="502087.86"/>
    <n v="388"/>
    <n v="2025"/>
    <n v="6"/>
    <x v="17"/>
    <n v="4"/>
    <x v="0"/>
    <x v="3"/>
  </r>
  <r>
    <d v="2025-06-27T00:00:00"/>
    <n v="540629"/>
    <n v="510452.57"/>
    <n v="443"/>
    <n v="2025"/>
    <n v="6"/>
    <x v="17"/>
    <n v="5"/>
    <x v="0"/>
    <x v="4"/>
  </r>
  <r>
    <d v="2025-06-28T00:00:00"/>
    <n v="454423"/>
    <n v="503201.43"/>
    <n v="375"/>
    <n v="2025"/>
    <n v="6"/>
    <x v="17"/>
    <n v="6"/>
    <x v="1"/>
    <x v="5"/>
  </r>
  <r>
    <d v="2025-06-29T00:00:00"/>
    <n v="512747"/>
    <n v="513941.14"/>
    <n v="413"/>
    <n v="2025"/>
    <n v="6"/>
    <x v="17"/>
    <n v="7"/>
    <x v="1"/>
    <x v="6"/>
  </r>
  <r>
    <d v="2025-06-30T00:00:00"/>
    <n v="507702"/>
    <n v="508062"/>
    <n v="422"/>
    <n v="2025"/>
    <n v="6"/>
    <x v="17"/>
    <n v="1"/>
    <x v="0"/>
    <x v="0"/>
  </r>
  <r>
    <d v="2025-07-01T00:00:00"/>
    <n v="511638"/>
    <n v="507207.43"/>
    <n v="417"/>
    <n v="2025"/>
    <n v="7"/>
    <x v="18"/>
    <n v="2"/>
    <x v="0"/>
    <x v="1"/>
  </r>
  <r>
    <d v="2025-07-02T00:00:00"/>
    <n v="487864"/>
    <n v="499932.29"/>
    <n v="419"/>
    <n v="2025"/>
    <n v="7"/>
    <x v="18"/>
    <n v="3"/>
    <x v="0"/>
    <x v="2"/>
  </r>
  <r>
    <d v="2025-07-03T00:00:00"/>
    <n v="534623"/>
    <n v="507089.43"/>
    <n v="395"/>
    <n v="2025"/>
    <n v="7"/>
    <x v="18"/>
    <n v="4"/>
    <x v="0"/>
    <x v="3"/>
  </r>
  <r>
    <d v="2025-07-04T00:00:00"/>
    <n v="510989"/>
    <n v="502855.14"/>
    <n v="430"/>
    <n v="2025"/>
    <n v="7"/>
    <x v="18"/>
    <n v="5"/>
    <x v="0"/>
    <x v="4"/>
  </r>
  <r>
    <d v="2025-07-05T00:00:00"/>
    <n v="521384"/>
    <n v="512421"/>
    <n v="415"/>
    <n v="2025"/>
    <n v="7"/>
    <x v="18"/>
    <n v="6"/>
    <x v="1"/>
    <x v="5"/>
  </r>
  <r>
    <d v="2025-07-06T00:00:00"/>
    <n v="499613"/>
    <n v="510544.71"/>
    <n v="407"/>
    <n v="2025"/>
    <n v="7"/>
    <x v="18"/>
    <n v="7"/>
    <x v="1"/>
    <x v="6"/>
  </r>
  <r>
    <d v="2025-07-07T00:00:00"/>
    <n v="527956"/>
    <n v="513438.14"/>
    <n v="419"/>
    <n v="2025"/>
    <n v="7"/>
    <x v="18"/>
    <n v="1"/>
    <x v="0"/>
    <x v="0"/>
  </r>
  <r>
    <d v="2025-07-08T00:00:00"/>
    <n v="483454"/>
    <n v="509411.86"/>
    <n v="386"/>
    <n v="2025"/>
    <n v="7"/>
    <x v="18"/>
    <n v="2"/>
    <x v="0"/>
    <x v="1"/>
  </r>
  <r>
    <d v="2025-07-09T00:00:00"/>
    <n v="534291"/>
    <n v="516044.29"/>
    <n v="416"/>
    <n v="2025"/>
    <n v="7"/>
    <x v="18"/>
    <n v="3"/>
    <x v="0"/>
    <x v="2"/>
  </r>
  <r>
    <d v="2025-07-10T00:00:00"/>
    <n v="510275"/>
    <n v="512566"/>
    <n v="400"/>
    <n v="2025"/>
    <n v="7"/>
    <x v="18"/>
    <n v="4"/>
    <x v="0"/>
    <x v="3"/>
  </r>
  <r>
    <d v="2025-07-11T00:00:00"/>
    <n v="554407"/>
    <n v="518768.57"/>
    <n v="459"/>
    <n v="2025"/>
    <n v="7"/>
    <x v="18"/>
    <n v="5"/>
    <x v="0"/>
    <x v="4"/>
  </r>
  <r>
    <d v="2025-07-12T00:00:00"/>
    <n v="534975"/>
    <n v="520710.14"/>
    <n v="422"/>
    <n v="2025"/>
    <n v="7"/>
    <x v="18"/>
    <n v="6"/>
    <x v="1"/>
    <x v="5"/>
  </r>
  <r>
    <d v="2025-07-13T00:00:00"/>
    <n v="507008"/>
    <n v="521766.57"/>
    <n v="406"/>
    <n v="2025"/>
    <n v="7"/>
    <x v="18"/>
    <n v="7"/>
    <x v="1"/>
    <x v="6"/>
  </r>
  <r>
    <d v="2025-07-14T00:00:00"/>
    <n v="497476"/>
    <n v="517412.29"/>
    <n v="406"/>
    <n v="2025"/>
    <n v="7"/>
    <x v="18"/>
    <n v="1"/>
    <x v="0"/>
    <x v="0"/>
  </r>
  <r>
    <d v="2025-07-15T00:00:00"/>
    <n v="527113"/>
    <n v="523649.29"/>
    <n v="411"/>
    <n v="2025"/>
    <n v="7"/>
    <x v="18"/>
    <n v="2"/>
    <x v="0"/>
    <x v="1"/>
  </r>
  <r>
    <d v="2025-07-16T00:00:00"/>
    <n v="513427"/>
    <n v="520668.71"/>
    <n v="407"/>
    <n v="2025"/>
    <n v="7"/>
    <x v="18"/>
    <n v="3"/>
    <x v="0"/>
    <x v="2"/>
  </r>
  <r>
    <d v="2025-07-17T00:00:00"/>
    <n v="511676"/>
    <n v="520868.86"/>
    <n v="412"/>
    <n v="2025"/>
    <n v="7"/>
    <x v="18"/>
    <n v="4"/>
    <x v="0"/>
    <x v="3"/>
  </r>
  <r>
    <d v="2025-07-18T00:00:00"/>
    <n v="536574"/>
    <n v="518321.29"/>
    <n v="425"/>
    <n v="2025"/>
    <n v="7"/>
    <x v="18"/>
    <n v="5"/>
    <x v="0"/>
    <x v="4"/>
  </r>
  <r>
    <d v="2025-07-19T00:00:00"/>
    <n v="522623"/>
    <n v="516556.71"/>
    <n v="427"/>
    <n v="2025"/>
    <n v="7"/>
    <x v="18"/>
    <n v="6"/>
    <x v="1"/>
    <x v="5"/>
  </r>
  <r>
    <d v="2025-07-20T00:00:00"/>
    <n v="522754"/>
    <n v="518806.14"/>
    <n v="429"/>
    <n v="2025"/>
    <n v="7"/>
    <x v="18"/>
    <n v="7"/>
    <x v="1"/>
    <x v="6"/>
  </r>
  <r>
    <d v="2025-07-21T00:00:00"/>
    <n v="464802"/>
    <n v="514138.43"/>
    <n v="397"/>
    <n v="2025"/>
    <n v="7"/>
    <x v="18"/>
    <n v="1"/>
    <x v="0"/>
    <x v="0"/>
  </r>
  <r>
    <d v="2025-07-22T00:00:00"/>
    <n v="509875"/>
    <n v="511675.86"/>
    <n v="412"/>
    <n v="2025"/>
    <n v="7"/>
    <x v="18"/>
    <n v="2"/>
    <x v="0"/>
    <x v="1"/>
  </r>
  <r>
    <d v="2025-07-23T00:00:00"/>
    <n v="469899"/>
    <n v="505457.57"/>
    <n v="391"/>
    <n v="2025"/>
    <n v="7"/>
    <x v="18"/>
    <n v="3"/>
    <x v="0"/>
    <x v="2"/>
  </r>
  <r>
    <d v="2025-07-24T00:00:00"/>
    <n v="495650"/>
    <n v="503168.14"/>
    <n v="404"/>
    <n v="2025"/>
    <n v="7"/>
    <x v="18"/>
    <n v="4"/>
    <x v="0"/>
    <x v="3"/>
  </r>
  <r>
    <d v="2025-07-25T00:00:00"/>
    <n v="480307"/>
    <n v="495130"/>
    <n v="387"/>
    <n v="2025"/>
    <n v="7"/>
    <x v="18"/>
    <n v="5"/>
    <x v="0"/>
    <x v="4"/>
  </r>
  <r>
    <d v="2025-07-26T00:00:00"/>
    <n v="510970"/>
    <n v="493465.29"/>
    <n v="390"/>
    <n v="2025"/>
    <n v="7"/>
    <x v="18"/>
    <n v="6"/>
    <x v="1"/>
    <x v="5"/>
  </r>
  <r>
    <d v="2025-07-27T00:00:00"/>
    <n v="509930"/>
    <n v="491633.29"/>
    <n v="432"/>
    <n v="2025"/>
    <n v="7"/>
    <x v="18"/>
    <n v="7"/>
    <x v="1"/>
    <x v="6"/>
  </r>
  <r>
    <d v="2025-07-28T00:00:00"/>
    <n v="528866"/>
    <n v="500785.29"/>
    <n v="410"/>
    <n v="2025"/>
    <n v="7"/>
    <x v="18"/>
    <n v="1"/>
    <x v="0"/>
    <x v="0"/>
  </r>
  <r>
    <d v="2025-07-29T00:00:00"/>
    <n v="541958"/>
    <n v="505368.57"/>
    <n v="404"/>
    <n v="2025"/>
    <n v="7"/>
    <x v="18"/>
    <n v="2"/>
    <x v="0"/>
    <x v="1"/>
  </r>
  <r>
    <d v="2025-07-30T00:00:00"/>
    <n v="472390"/>
    <n v="505724.43"/>
    <n v="382"/>
    <n v="2025"/>
    <n v="7"/>
    <x v="18"/>
    <n v="3"/>
    <x v="0"/>
    <x v="2"/>
  </r>
  <r>
    <d v="2025-07-31T00:00:00"/>
    <n v="512912"/>
    <n v="508190.43"/>
    <n v="418"/>
    <n v="2025"/>
    <n v="7"/>
    <x v="18"/>
    <n v="4"/>
    <x v="0"/>
    <x v="3"/>
  </r>
  <r>
    <d v="2025-08-01T00:00:00"/>
    <n v="576013"/>
    <n v="521862.71"/>
    <n v="445"/>
    <n v="2025"/>
    <n v="8"/>
    <x v="19"/>
    <n v="5"/>
    <x v="0"/>
    <x v="4"/>
  </r>
  <r>
    <d v="2025-08-02T00:00:00"/>
    <n v="498320"/>
    <n v="520055.57"/>
    <n v="401"/>
    <n v="2025"/>
    <n v="8"/>
    <x v="19"/>
    <n v="6"/>
    <x v="1"/>
    <x v="5"/>
  </r>
  <r>
    <d v="2025-08-03T00:00:00"/>
    <n v="537642"/>
    <n v="524014.43"/>
    <n v="431"/>
    <n v="2025"/>
    <n v="8"/>
    <x v="19"/>
    <n v="7"/>
    <x v="1"/>
    <x v="6"/>
  </r>
  <r>
    <d v="2025-08-04T00:00:00"/>
    <n v="506249"/>
    <n v="520783.43"/>
    <n v="407"/>
    <n v="2025"/>
    <n v="8"/>
    <x v="19"/>
    <n v="1"/>
    <x v="0"/>
    <x v="0"/>
  </r>
  <r>
    <d v="2025-08-05T00:00:00"/>
    <n v="569307"/>
    <n v="524690.43000000005"/>
    <n v="423"/>
    <n v="2025"/>
    <n v="8"/>
    <x v="19"/>
    <n v="2"/>
    <x v="0"/>
    <x v="1"/>
  </r>
  <r>
    <d v="2025-08-06T00:00:00"/>
    <n v="524132"/>
    <n v="532082.14"/>
    <n v="423"/>
    <n v="2025"/>
    <n v="8"/>
    <x v="19"/>
    <n v="3"/>
    <x v="0"/>
    <x v="2"/>
  </r>
  <r>
    <d v="2025-08-07T00:00:00"/>
    <n v="483649"/>
    <n v="527901.71"/>
    <n v="413"/>
    <n v="2025"/>
    <n v="8"/>
    <x v="19"/>
    <n v="4"/>
    <x v="0"/>
    <x v="3"/>
  </r>
  <r>
    <d v="2025-08-08T00:00:00"/>
    <n v="525475"/>
    <n v="520682"/>
    <n v="417"/>
    <n v="2025"/>
    <n v="8"/>
    <x v="19"/>
    <n v="5"/>
    <x v="0"/>
    <x v="4"/>
  </r>
  <r>
    <d v="2025-08-09T00:00:00"/>
    <n v="489476"/>
    <n v="519418.57"/>
    <n v="404"/>
    <n v="2025"/>
    <n v="8"/>
    <x v="19"/>
    <n v="6"/>
    <x v="1"/>
    <x v="5"/>
  </r>
  <r>
    <d v="2025-08-10T00:00:00"/>
    <n v="512603"/>
    <n v="515841.57"/>
    <n v="388"/>
    <n v="2025"/>
    <n v="8"/>
    <x v="19"/>
    <n v="7"/>
    <x v="1"/>
    <x v="6"/>
  </r>
  <r>
    <d v="2025-08-11T00:00:00"/>
    <n v="565833"/>
    <n v="524353.56999999995"/>
    <n v="457"/>
    <n v="2025"/>
    <n v="8"/>
    <x v="19"/>
    <n v="1"/>
    <x v="0"/>
    <x v="0"/>
  </r>
  <r>
    <d v="2025-08-12T00:00:00"/>
    <n v="480204"/>
    <n v="511624.57"/>
    <n v="399"/>
    <n v="2025"/>
    <n v="8"/>
    <x v="19"/>
    <n v="2"/>
    <x v="0"/>
    <x v="1"/>
  </r>
  <r>
    <d v="2025-08-13T00:00:00"/>
    <n v="479463"/>
    <n v="505243.29"/>
    <n v="393"/>
    <n v="2025"/>
    <n v="8"/>
    <x v="19"/>
    <n v="3"/>
    <x v="0"/>
    <x v="2"/>
  </r>
  <r>
    <d v="2025-08-14T00:00:00"/>
    <n v="515324"/>
    <n v="509768.29"/>
    <n v="399"/>
    <n v="2025"/>
    <n v="8"/>
    <x v="19"/>
    <n v="4"/>
    <x v="0"/>
    <x v="3"/>
  </r>
  <r>
    <d v="2025-08-15T00:00:00"/>
    <n v="548337"/>
    <n v="513034.29"/>
    <n v="430"/>
    <n v="2025"/>
    <n v="8"/>
    <x v="19"/>
    <n v="5"/>
    <x v="0"/>
    <x v="4"/>
  </r>
  <r>
    <d v="2025-08-16T00:00:00"/>
    <n v="579153"/>
    <n v="525845.29"/>
    <n v="445"/>
    <n v="2025"/>
    <n v="8"/>
    <x v="19"/>
    <n v="6"/>
    <x v="1"/>
    <x v="5"/>
  </r>
  <r>
    <d v="2025-08-17T00:00:00"/>
    <n v="471074"/>
    <n v="519912.57"/>
    <n v="379"/>
    <n v="2025"/>
    <n v="8"/>
    <x v="19"/>
    <n v="7"/>
    <x v="1"/>
    <x v="6"/>
  </r>
  <r>
    <d v="2025-08-18T00:00:00"/>
    <n v="483859"/>
    <n v="508202"/>
    <n v="395"/>
    <n v="2025"/>
    <n v="8"/>
    <x v="19"/>
    <n v="1"/>
    <x v="0"/>
    <x v="0"/>
  </r>
  <r>
    <d v="2025-08-19T00:00:00"/>
    <n v="478274"/>
    <n v="507926.29"/>
    <n v="388"/>
    <n v="2025"/>
    <n v="8"/>
    <x v="19"/>
    <n v="2"/>
    <x v="0"/>
    <x v="1"/>
  </r>
  <r>
    <d v="2025-08-20T00:00:00"/>
    <n v="462942"/>
    <n v="505566.14"/>
    <n v="396"/>
    <n v="2025"/>
    <n v="8"/>
    <x v="19"/>
    <n v="3"/>
    <x v="0"/>
    <x v="2"/>
  </r>
  <r>
    <d v="2025-08-21T00:00:00"/>
    <n v="493268"/>
    <n v="502415.29"/>
    <n v="403"/>
    <n v="2025"/>
    <n v="8"/>
    <x v="19"/>
    <n v="4"/>
    <x v="0"/>
    <x v="3"/>
  </r>
  <r>
    <d v="2025-08-22T00:00:00"/>
    <n v="459853"/>
    <n v="489774.71"/>
    <n v="377"/>
    <n v="2025"/>
    <n v="8"/>
    <x v="19"/>
    <n v="5"/>
    <x v="0"/>
    <x v="4"/>
  </r>
  <r>
    <d v="2025-08-23T00:00:00"/>
    <n v="509067"/>
    <n v="479762.43"/>
    <n v="395"/>
    <n v="2025"/>
    <n v="8"/>
    <x v="19"/>
    <n v="6"/>
    <x v="1"/>
    <x v="5"/>
  </r>
  <r>
    <d v="2025-08-24T00:00:00"/>
    <n v="561773"/>
    <n v="492719.43"/>
    <n v="461"/>
    <n v="2025"/>
    <n v="8"/>
    <x v="19"/>
    <n v="7"/>
    <x v="1"/>
    <x v="6"/>
  </r>
  <r>
    <d v="2025-08-25T00:00:00"/>
    <n v="540052"/>
    <n v="500747"/>
    <n v="451"/>
    <n v="2025"/>
    <n v="8"/>
    <x v="19"/>
    <n v="1"/>
    <x v="0"/>
    <x v="0"/>
  </r>
  <r>
    <d v="2025-08-26T00:00:00"/>
    <n v="521789"/>
    <n v="506963.43"/>
    <n v="420"/>
    <n v="2025"/>
    <n v="8"/>
    <x v="19"/>
    <n v="2"/>
    <x v="0"/>
    <x v="1"/>
  </r>
  <r>
    <d v="2025-08-27T00:00:00"/>
    <n v="503950"/>
    <n v="512821.71"/>
    <n v="401"/>
    <n v="2025"/>
    <n v="8"/>
    <x v="19"/>
    <n v="3"/>
    <x v="0"/>
    <x v="2"/>
  </r>
  <r>
    <d v="2025-08-28T00:00:00"/>
    <n v="548094"/>
    <n v="520654"/>
    <n v="422"/>
    <n v="2025"/>
    <n v="8"/>
    <x v="19"/>
    <n v="4"/>
    <x v="0"/>
    <x v="3"/>
  </r>
  <r>
    <d v="2025-08-29T00:00:00"/>
    <n v="476311"/>
    <n v="523005.14"/>
    <n v="384"/>
    <n v="2025"/>
    <n v="8"/>
    <x v="19"/>
    <n v="5"/>
    <x v="0"/>
    <x v="4"/>
  </r>
  <r>
    <d v="2025-08-30T00:00:00"/>
    <n v="495146"/>
    <n v="521016.43"/>
    <n v="428"/>
    <n v="2025"/>
    <n v="8"/>
    <x v="19"/>
    <n v="6"/>
    <x v="1"/>
    <x v="5"/>
  </r>
  <r>
    <d v="2025-08-31T00:00:00"/>
    <n v="484336"/>
    <n v="509954"/>
    <n v="380"/>
    <n v="2025"/>
    <n v="8"/>
    <x v="19"/>
    <n v="7"/>
    <x v="1"/>
    <x v="6"/>
  </r>
  <r>
    <d v="2025-09-01T00:00:00"/>
    <n v="532235"/>
    <n v="508837.29"/>
    <n v="424"/>
    <n v="2025"/>
    <n v="9"/>
    <x v="20"/>
    <n v="1"/>
    <x v="0"/>
    <x v="0"/>
  </r>
  <r>
    <d v="2025-09-02T00:00:00"/>
    <n v="552478"/>
    <n v="513221.43"/>
    <n v="430"/>
    <n v="2025"/>
    <n v="9"/>
    <x v="20"/>
    <n v="2"/>
    <x v="0"/>
    <x v="1"/>
  </r>
  <r>
    <d v="2025-09-03T00:00:00"/>
    <n v="513798"/>
    <n v="514628.29"/>
    <n v="418"/>
    <n v="2025"/>
    <n v="9"/>
    <x v="20"/>
    <n v="3"/>
    <x v="0"/>
    <x v="2"/>
  </r>
  <r>
    <d v="2025-09-04T00:00:00"/>
    <n v="532843"/>
    <n v="512449.57"/>
    <n v="410"/>
    <n v="2025"/>
    <n v="9"/>
    <x v="20"/>
    <n v="4"/>
    <x v="0"/>
    <x v="3"/>
  </r>
  <r>
    <d v="2025-09-05T00:00:00"/>
    <n v="480643"/>
    <n v="513068.43"/>
    <n v="390"/>
    <n v="2025"/>
    <n v="9"/>
    <x v="20"/>
    <n v="5"/>
    <x v="0"/>
    <x v="4"/>
  </r>
  <r>
    <d v="2025-09-06T00:00:00"/>
    <n v="514953"/>
    <n v="515898"/>
    <n v="411"/>
    <n v="2025"/>
    <n v="9"/>
    <x v="20"/>
    <n v="6"/>
    <x v="1"/>
    <x v="5"/>
  </r>
  <r>
    <d v="2025-09-07T00:00:00"/>
    <n v="483014"/>
    <n v="515709.14"/>
    <n v="392"/>
    <n v="2025"/>
    <n v="9"/>
    <x v="20"/>
    <n v="7"/>
    <x v="1"/>
    <x v="6"/>
  </r>
  <r>
    <d v="2025-09-08T00:00:00"/>
    <n v="470261"/>
    <n v="506855.71"/>
    <n v="400"/>
    <n v="2025"/>
    <n v="9"/>
    <x v="20"/>
    <n v="1"/>
    <x v="0"/>
    <x v="0"/>
  </r>
  <r>
    <d v="2025-09-09T00:00:00"/>
    <n v="472665"/>
    <n v="495453.86"/>
    <n v="395"/>
    <n v="2025"/>
    <n v="9"/>
    <x v="20"/>
    <n v="2"/>
    <x v="0"/>
    <x v="1"/>
  </r>
  <r>
    <d v="2025-09-10T00:00:00"/>
    <n v="552022"/>
    <n v="500914.43"/>
    <n v="445"/>
    <n v="2025"/>
    <n v="9"/>
    <x v="20"/>
    <n v="3"/>
    <x v="0"/>
    <x v="2"/>
  </r>
  <r>
    <d v="2025-09-11T00:00:00"/>
    <n v="528253"/>
    <n v="500258.71"/>
    <n v="405"/>
    <n v="2025"/>
    <n v="9"/>
    <x v="20"/>
    <n v="4"/>
    <x v="0"/>
    <x v="3"/>
  </r>
  <r>
    <d v="2025-09-12T00:00:00"/>
    <n v="516967"/>
    <n v="505447.86"/>
    <n v="427"/>
    <n v="2025"/>
    <n v="9"/>
    <x v="20"/>
    <n v="5"/>
    <x v="0"/>
    <x v="4"/>
  </r>
  <r>
    <d v="2025-09-13T00:00:00"/>
    <n v="470102"/>
    <n v="499040.57"/>
    <n v="407"/>
    <n v="2025"/>
    <n v="9"/>
    <x v="20"/>
    <n v="6"/>
    <x v="1"/>
    <x v="5"/>
  </r>
  <r>
    <d v="2025-09-14T00:00:00"/>
    <n v="516463"/>
    <n v="503819"/>
    <n v="435"/>
    <n v="2025"/>
    <n v="9"/>
    <x v="20"/>
    <n v="7"/>
    <x v="1"/>
    <x v="6"/>
  </r>
  <r>
    <d v="2025-09-15T00:00:00"/>
    <n v="492270"/>
    <n v="506963.14"/>
    <n v="409"/>
    <n v="2025"/>
    <n v="9"/>
    <x v="20"/>
    <n v="1"/>
    <x v="0"/>
    <x v="0"/>
  </r>
  <r>
    <d v="2025-09-16T00:00:00"/>
    <n v="540721"/>
    <n v="516685.43"/>
    <n v="432"/>
    <n v="2025"/>
    <n v="9"/>
    <x v="20"/>
    <n v="2"/>
    <x v="0"/>
    <x v="1"/>
  </r>
  <r>
    <d v="2025-09-17T00:00:00"/>
    <n v="530204"/>
    <n v="513568.57"/>
    <n v="433"/>
    <n v="2025"/>
    <n v="9"/>
    <x v="20"/>
    <n v="3"/>
    <x v="0"/>
    <x v="2"/>
  </r>
  <r>
    <d v="2025-09-18T00:00:00"/>
    <n v="466689"/>
    <n v="504773.71"/>
    <n v="375"/>
    <n v="2025"/>
    <n v="9"/>
    <x v="20"/>
    <n v="4"/>
    <x v="0"/>
    <x v="3"/>
  </r>
  <r>
    <d v="2025-09-19T00:00:00"/>
    <n v="507590"/>
    <n v="503434.14"/>
    <n v="415"/>
    <n v="2025"/>
    <n v="9"/>
    <x v="20"/>
    <n v="5"/>
    <x v="0"/>
    <x v="4"/>
  </r>
  <r>
    <d v="2025-09-20T00:00:00"/>
    <n v="482143"/>
    <n v="505154.29"/>
    <n v="398"/>
    <n v="2025"/>
    <n v="9"/>
    <x v="20"/>
    <n v="6"/>
    <x v="1"/>
    <x v="5"/>
  </r>
  <r>
    <d v="2025-09-21T00:00:00"/>
    <n v="527244"/>
    <n v="506694.43"/>
    <n v="414"/>
    <n v="2025"/>
    <n v="9"/>
    <x v="20"/>
    <n v="7"/>
    <x v="1"/>
    <x v="6"/>
  </r>
  <r>
    <d v="2025-09-22T00:00:00"/>
    <n v="533277"/>
    <n v="512552.57"/>
    <n v="423"/>
    <n v="2025"/>
    <n v="9"/>
    <x v="20"/>
    <n v="1"/>
    <x v="0"/>
    <x v="0"/>
  </r>
  <r>
    <d v="2025-09-23T00:00:00"/>
    <n v="469381"/>
    <n v="502361.14"/>
    <n v="379"/>
    <n v="2025"/>
    <n v="9"/>
    <x v="20"/>
    <n v="2"/>
    <x v="0"/>
    <x v="1"/>
  </r>
  <r>
    <d v="2025-09-24T00:00:00"/>
    <n v="540132"/>
    <n v="503779.43"/>
    <n v="436"/>
    <n v="2025"/>
    <n v="9"/>
    <x v="20"/>
    <n v="3"/>
    <x v="0"/>
    <x v="2"/>
  </r>
  <r>
    <d v="2025-09-25T00:00:00"/>
    <n v="524785"/>
    <n v="512078.86"/>
    <n v="422"/>
    <n v="2025"/>
    <n v="9"/>
    <x v="20"/>
    <n v="4"/>
    <x v="0"/>
    <x v="3"/>
  </r>
  <r>
    <d v="2025-09-26T00:00:00"/>
    <n v="498847"/>
    <n v="510829.86"/>
    <n v="409"/>
    <n v="2025"/>
    <n v="9"/>
    <x v="20"/>
    <n v="5"/>
    <x v="0"/>
    <x v="4"/>
  </r>
  <r>
    <d v="2025-09-27T00:00:00"/>
    <n v="483290"/>
    <n v="510993.71"/>
    <n v="382"/>
    <n v="2025"/>
    <n v="9"/>
    <x v="20"/>
    <n v="6"/>
    <x v="1"/>
    <x v="5"/>
  </r>
  <r>
    <d v="2025-09-28T00:00:00"/>
    <n v="525571"/>
    <n v="510754.71"/>
    <n v="428"/>
    <n v="2025"/>
    <n v="9"/>
    <x v="20"/>
    <n v="7"/>
    <x v="1"/>
    <x v="6"/>
  </r>
  <r>
    <d v="2025-09-29T00:00:00"/>
    <n v="474177"/>
    <n v="502311.86"/>
    <n v="389"/>
    <n v="2025"/>
    <n v="9"/>
    <x v="20"/>
    <n v="1"/>
    <x v="0"/>
    <x v="0"/>
  </r>
  <r>
    <d v="2025-09-30T00:00:00"/>
    <n v="541195"/>
    <n v="512571"/>
    <n v="431"/>
    <n v="2025"/>
    <n v="9"/>
    <x v="20"/>
    <n v="2"/>
    <x v="0"/>
    <x v="1"/>
  </r>
  <r>
    <d v="2025-10-01T00:00:00"/>
    <n v="561751"/>
    <n v="515659.43"/>
    <n v="434"/>
    <n v="2025"/>
    <n v="10"/>
    <x v="21"/>
    <n v="3"/>
    <x v="0"/>
    <x v="2"/>
  </r>
  <r>
    <d v="2025-10-02T00:00:00"/>
    <n v="489120"/>
    <n v="510564.43"/>
    <n v="420"/>
    <n v="2025"/>
    <n v="10"/>
    <x v="21"/>
    <n v="4"/>
    <x v="0"/>
    <x v="3"/>
  </r>
  <r>
    <d v="2025-10-03T00:00:00"/>
    <n v="517405"/>
    <n v="513215.57"/>
    <n v="420"/>
    <n v="2025"/>
    <n v="10"/>
    <x v="21"/>
    <n v="5"/>
    <x v="0"/>
    <x v="4"/>
  </r>
  <r>
    <d v="2025-10-04T00:00:00"/>
    <n v="492918"/>
    <n v="514591"/>
    <n v="417"/>
    <n v="2025"/>
    <n v="10"/>
    <x v="21"/>
    <n v="6"/>
    <x v="1"/>
    <x v="5"/>
  </r>
  <r>
    <d v="2025-10-05T00:00:00"/>
    <n v="527455"/>
    <n v="514860.14"/>
    <n v="401"/>
    <n v="2025"/>
    <n v="10"/>
    <x v="21"/>
    <n v="7"/>
    <x v="1"/>
    <x v="6"/>
  </r>
  <r>
    <d v="2025-10-06T00:00:00"/>
    <n v="556845"/>
    <n v="526669.86"/>
    <n v="436"/>
    <n v="2025"/>
    <n v="10"/>
    <x v="21"/>
    <n v="1"/>
    <x v="0"/>
    <x v="0"/>
  </r>
  <r>
    <d v="2025-10-07T00:00:00"/>
    <n v="499467"/>
    <n v="520708.71"/>
    <n v="406"/>
    <n v="2025"/>
    <n v="10"/>
    <x v="21"/>
    <n v="2"/>
    <x v="0"/>
    <x v="1"/>
  </r>
  <r>
    <d v="2025-10-08T00:00:00"/>
    <n v="489565"/>
    <n v="510396.43"/>
    <n v="405"/>
    <n v="2025"/>
    <n v="10"/>
    <x v="21"/>
    <n v="3"/>
    <x v="0"/>
    <x v="2"/>
  </r>
  <r>
    <d v="2025-10-09T00:00:00"/>
    <n v="546491"/>
    <n v="518592.29"/>
    <n v="423"/>
    <n v="2025"/>
    <n v="10"/>
    <x v="21"/>
    <n v="4"/>
    <x v="0"/>
    <x v="3"/>
  </r>
  <r>
    <d v="2025-10-10T00:00:00"/>
    <n v="557458"/>
    <n v="524314.14"/>
    <n v="452"/>
    <n v="2025"/>
    <n v="10"/>
    <x v="21"/>
    <n v="5"/>
    <x v="0"/>
    <x v="4"/>
  </r>
  <r>
    <d v="2025-10-11T00:00:00"/>
    <n v="492391"/>
    <n v="524238.86"/>
    <n v="390"/>
    <n v="2025"/>
    <n v="10"/>
    <x v="21"/>
    <n v="6"/>
    <x v="1"/>
    <x v="5"/>
  </r>
  <r>
    <d v="2025-10-12T00:00:00"/>
    <n v="488544"/>
    <n v="518680.14"/>
    <n v="405"/>
    <n v="2025"/>
    <n v="10"/>
    <x v="21"/>
    <n v="7"/>
    <x v="1"/>
    <x v="6"/>
  </r>
  <r>
    <d v="2025-10-13T00:00:00"/>
    <n v="537071"/>
    <n v="515855.29"/>
    <n v="423"/>
    <n v="2025"/>
    <n v="10"/>
    <x v="21"/>
    <n v="1"/>
    <x v="0"/>
    <x v="0"/>
  </r>
  <r>
    <d v="2025-10-14T00:00:00"/>
    <n v="451360"/>
    <n v="508982.86"/>
    <n v="370"/>
    <n v="2025"/>
    <n v="10"/>
    <x v="21"/>
    <n v="2"/>
    <x v="0"/>
    <x v="1"/>
  </r>
  <r>
    <d v="2025-10-15T00:00:00"/>
    <n v="543187"/>
    <n v="516643.14"/>
    <n v="435"/>
    <n v="2025"/>
    <n v="10"/>
    <x v="21"/>
    <n v="3"/>
    <x v="0"/>
    <x v="2"/>
  </r>
  <r>
    <d v="2025-10-16T00:00:00"/>
    <n v="534297"/>
    <n v="514901.14"/>
    <n v="445"/>
    <n v="2025"/>
    <n v="10"/>
    <x v="21"/>
    <n v="4"/>
    <x v="0"/>
    <x v="3"/>
  </r>
  <r>
    <d v="2025-10-17T00:00:00"/>
    <n v="517048"/>
    <n v="509128.29"/>
    <n v="407"/>
    <n v="2025"/>
    <n v="10"/>
    <x v="21"/>
    <n v="5"/>
    <x v="0"/>
    <x v="4"/>
  </r>
  <r>
    <d v="2025-10-18T00:00:00"/>
    <n v="487059"/>
    <n v="508366.57"/>
    <n v="395"/>
    <n v="2025"/>
    <n v="10"/>
    <x v="21"/>
    <n v="6"/>
    <x v="1"/>
    <x v="5"/>
  </r>
  <r>
    <d v="2025-10-19T00:00:00"/>
    <n v="459828"/>
    <n v="504264.29"/>
    <n v="386"/>
    <n v="2025"/>
    <n v="10"/>
    <x v="21"/>
    <n v="7"/>
    <x v="1"/>
    <x v="6"/>
  </r>
  <r>
    <d v="2025-10-20T00:00:00"/>
    <n v="524523"/>
    <n v="502471.71"/>
    <n v="411"/>
    <n v="2025"/>
    <n v="10"/>
    <x v="21"/>
    <n v="1"/>
    <x v="0"/>
    <x v="0"/>
  </r>
  <r>
    <d v="2025-10-21T00:00:00"/>
    <n v="474243"/>
    <n v="505740.71"/>
    <n v="388"/>
    <n v="2025"/>
    <n v="10"/>
    <x v="21"/>
    <n v="2"/>
    <x v="0"/>
    <x v="1"/>
  </r>
  <r>
    <d v="2025-10-22T00:00:00"/>
    <n v="509384"/>
    <n v="500911.71"/>
    <n v="406"/>
    <n v="2025"/>
    <n v="10"/>
    <x v="21"/>
    <n v="3"/>
    <x v="0"/>
    <x v="2"/>
  </r>
  <r>
    <d v="2025-10-23T00:00:00"/>
    <n v="489126"/>
    <n v="494458.71"/>
    <n v="383"/>
    <n v="2025"/>
    <n v="10"/>
    <x v="21"/>
    <n v="4"/>
    <x v="0"/>
    <x v="3"/>
  </r>
  <r>
    <d v="2025-10-24T00:00:00"/>
    <n v="472637"/>
    <n v="488114.29"/>
    <n v="383"/>
    <n v="2025"/>
    <n v="10"/>
    <x v="21"/>
    <n v="5"/>
    <x v="0"/>
    <x v="4"/>
  </r>
  <r>
    <d v="2025-10-25T00:00:00"/>
    <n v="484286"/>
    <n v="487718.14"/>
    <n v="385"/>
    <n v="2025"/>
    <n v="10"/>
    <x v="21"/>
    <n v="6"/>
    <x v="1"/>
    <x v="5"/>
  </r>
  <r>
    <d v="2025-10-26T00:00:00"/>
    <n v="470436"/>
    <n v="489233.57"/>
    <n v="371"/>
    <n v="2025"/>
    <n v="10"/>
    <x v="21"/>
    <n v="7"/>
    <x v="1"/>
    <x v="6"/>
  </r>
  <r>
    <d v="2025-10-27T00:00:00"/>
    <n v="532883"/>
    <n v="490427.86"/>
    <n v="428"/>
    <n v="2025"/>
    <n v="10"/>
    <x v="21"/>
    <n v="1"/>
    <x v="0"/>
    <x v="0"/>
  </r>
  <r>
    <d v="2025-10-28T00:00:00"/>
    <n v="467930"/>
    <n v="489526"/>
    <n v="374"/>
    <n v="2025"/>
    <n v="10"/>
    <x v="21"/>
    <n v="2"/>
    <x v="0"/>
    <x v="1"/>
  </r>
  <r>
    <d v="2025-10-29T00:00:00"/>
    <n v="511539"/>
    <n v="489833.86"/>
    <n v="413"/>
    <n v="2025"/>
    <n v="10"/>
    <x v="21"/>
    <n v="3"/>
    <x v="0"/>
    <x v="2"/>
  </r>
  <r>
    <d v="2025-10-30T00:00:00"/>
    <n v="522325"/>
    <n v="494576.57"/>
    <n v="420"/>
    <n v="2025"/>
    <n v="10"/>
    <x v="21"/>
    <n v="4"/>
    <x v="0"/>
    <x v="3"/>
  </r>
  <r>
    <d v="2025-10-31T00:00:00"/>
    <n v="527021"/>
    <n v="502345.71"/>
    <n v="422"/>
    <n v="2025"/>
    <n v="10"/>
    <x v="21"/>
    <n v="5"/>
    <x v="0"/>
    <x v="4"/>
  </r>
  <r>
    <d v="2025-11-01T00:00:00"/>
    <n v="533134"/>
    <n v="509324"/>
    <n v="428"/>
    <n v="2025"/>
    <n v="11"/>
    <x v="22"/>
    <n v="6"/>
    <x v="1"/>
    <x v="5"/>
  </r>
  <r>
    <d v="2025-11-02T00:00:00"/>
    <n v="492464"/>
    <n v="512470.86"/>
    <n v="396"/>
    <n v="2025"/>
    <n v="11"/>
    <x v="22"/>
    <n v="7"/>
    <x v="1"/>
    <x v="6"/>
  </r>
  <r>
    <d v="2025-11-03T00:00:00"/>
    <n v="503614"/>
    <n v="508289.57"/>
    <n v="407"/>
    <n v="2025"/>
    <n v="11"/>
    <x v="22"/>
    <n v="1"/>
    <x v="0"/>
    <x v="0"/>
  </r>
  <r>
    <d v="2025-11-04T00:00:00"/>
    <n v="523890"/>
    <n v="516283.86"/>
    <n v="420"/>
    <n v="2025"/>
    <n v="11"/>
    <x v="22"/>
    <n v="2"/>
    <x v="0"/>
    <x v="1"/>
  </r>
  <r>
    <d v="2025-11-05T00:00:00"/>
    <n v="512533"/>
    <n v="516425.86"/>
    <n v="410"/>
    <n v="2025"/>
    <n v="11"/>
    <x v="22"/>
    <n v="3"/>
    <x v="0"/>
    <x v="2"/>
  </r>
  <r>
    <d v="2025-11-06T00:00:00"/>
    <n v="495085"/>
    <n v="512534.43"/>
    <n v="407"/>
    <n v="2025"/>
    <n v="11"/>
    <x v="22"/>
    <n v="4"/>
    <x v="0"/>
    <x v="3"/>
  </r>
  <r>
    <d v="2025-11-07T00:00:00"/>
    <n v="527005"/>
    <n v="512532.14"/>
    <n v="416"/>
    <n v="2025"/>
    <n v="11"/>
    <x v="22"/>
    <n v="5"/>
    <x v="0"/>
    <x v="4"/>
  </r>
  <r>
    <d v="2025-11-08T00:00:00"/>
    <n v="567737"/>
    <n v="517475.43"/>
    <n v="447"/>
    <n v="2025"/>
    <n v="11"/>
    <x v="22"/>
    <n v="6"/>
    <x v="1"/>
    <x v="5"/>
  </r>
  <r>
    <d v="2025-11-09T00:00:00"/>
    <n v="544770"/>
    <n v="524947.71"/>
    <n v="426"/>
    <n v="2025"/>
    <n v="11"/>
    <x v="22"/>
    <n v="7"/>
    <x v="1"/>
    <x v="6"/>
  </r>
  <r>
    <d v="2025-11-10T00:00:00"/>
    <n v="516835"/>
    <n v="526836.43000000005"/>
    <n v="400"/>
    <n v="2025"/>
    <n v="11"/>
    <x v="22"/>
    <n v="1"/>
    <x v="0"/>
    <x v="0"/>
  </r>
  <r>
    <d v="2025-11-11T00:00:00"/>
    <n v="477335"/>
    <n v="520185.71"/>
    <n v="410"/>
    <n v="2025"/>
    <n v="11"/>
    <x v="22"/>
    <n v="2"/>
    <x v="0"/>
    <x v="1"/>
  </r>
  <r>
    <d v="2025-11-12T00:00:00"/>
    <n v="500884"/>
    <n v="518521.57"/>
    <n v="398"/>
    <n v="2025"/>
    <n v="11"/>
    <x v="22"/>
    <n v="3"/>
    <x v="0"/>
    <x v="2"/>
  </r>
  <r>
    <d v="2025-11-13T00:00:00"/>
    <n v="544777"/>
    <n v="525620.43000000005"/>
    <n v="419"/>
    <n v="2025"/>
    <n v="11"/>
    <x v="22"/>
    <n v="4"/>
    <x v="0"/>
    <x v="3"/>
  </r>
  <r>
    <d v="2025-11-14T00:00:00"/>
    <n v="483584"/>
    <n v="519417.43"/>
    <n v="381"/>
    <n v="2025"/>
    <n v="11"/>
    <x v="22"/>
    <n v="5"/>
    <x v="0"/>
    <x v="4"/>
  </r>
  <r>
    <d v="2025-11-15T00:00:00"/>
    <n v="478515"/>
    <n v="506671.43"/>
    <n v="410"/>
    <n v="2025"/>
    <n v="11"/>
    <x v="22"/>
    <n v="6"/>
    <x v="1"/>
    <x v="5"/>
  </r>
  <r>
    <d v="2025-11-16T00:00:00"/>
    <n v="500588"/>
    <n v="500359.71"/>
    <n v="414"/>
    <n v="2025"/>
    <n v="11"/>
    <x v="22"/>
    <n v="7"/>
    <x v="1"/>
    <x v="6"/>
  </r>
  <r>
    <d v="2025-11-17T00:00:00"/>
    <n v="520186"/>
    <n v="500838.43"/>
    <n v="420"/>
    <n v="2025"/>
    <n v="11"/>
    <x v="22"/>
    <n v="1"/>
    <x v="0"/>
    <x v="0"/>
  </r>
  <r>
    <d v="2025-11-18T00:00:00"/>
    <n v="478485"/>
    <n v="501002.71"/>
    <n v="391"/>
    <n v="2025"/>
    <n v="11"/>
    <x v="22"/>
    <n v="2"/>
    <x v="0"/>
    <x v="1"/>
  </r>
  <r>
    <d v="2025-11-19T00:00:00"/>
    <n v="461175"/>
    <n v="495330"/>
    <n v="395"/>
    <n v="2025"/>
    <n v="11"/>
    <x v="22"/>
    <n v="3"/>
    <x v="0"/>
    <x v="2"/>
  </r>
  <r>
    <d v="2025-11-20T00:00:00"/>
    <n v="526501"/>
    <n v="492719.14"/>
    <n v="415"/>
    <n v="2025"/>
    <n v="11"/>
    <x v="22"/>
    <n v="4"/>
    <x v="0"/>
    <x v="3"/>
  </r>
  <r>
    <d v="2025-11-21T00:00:00"/>
    <n v="543863"/>
    <n v="501330.43"/>
    <n v="443"/>
    <n v="2025"/>
    <n v="11"/>
    <x v="22"/>
    <n v="5"/>
    <x v="0"/>
    <x v="4"/>
  </r>
  <r>
    <d v="2025-11-22T00:00:00"/>
    <n v="547174"/>
    <n v="511138.86"/>
    <n v="425"/>
    <n v="2025"/>
    <n v="11"/>
    <x v="22"/>
    <n v="6"/>
    <x v="1"/>
    <x v="5"/>
  </r>
  <r>
    <d v="2025-11-23T00:00:00"/>
    <n v="527629"/>
    <n v="515001.86"/>
    <n v="418"/>
    <n v="2025"/>
    <n v="11"/>
    <x v="22"/>
    <n v="7"/>
    <x v="1"/>
    <x v="6"/>
  </r>
  <r>
    <d v="2025-11-24T00:00:00"/>
    <n v="524269"/>
    <n v="515585.14"/>
    <n v="419"/>
    <n v="2025"/>
    <n v="11"/>
    <x v="22"/>
    <n v="1"/>
    <x v="0"/>
    <x v="0"/>
  </r>
  <r>
    <d v="2025-11-25T00:00:00"/>
    <n v="443905"/>
    <n v="510645.14"/>
    <n v="365"/>
    <n v="2025"/>
    <n v="11"/>
    <x v="22"/>
    <n v="2"/>
    <x v="0"/>
    <x v="1"/>
  </r>
  <r>
    <d v="2025-11-26T00:00:00"/>
    <n v="497853"/>
    <n v="515884.86"/>
    <n v="385"/>
    <n v="2025"/>
    <n v="11"/>
    <x v="22"/>
    <n v="3"/>
    <x v="0"/>
    <x v="2"/>
  </r>
  <r>
    <d v="2025-11-27T00:00:00"/>
    <n v="499041"/>
    <n v="511962"/>
    <n v="405"/>
    <n v="2025"/>
    <n v="11"/>
    <x v="22"/>
    <n v="4"/>
    <x v="0"/>
    <x v="3"/>
  </r>
  <r>
    <d v="2025-11-28T00:00:00"/>
    <n v="510439"/>
    <n v="507187.14"/>
    <n v="401"/>
    <n v="2025"/>
    <n v="11"/>
    <x v="22"/>
    <n v="5"/>
    <x v="0"/>
    <x v="4"/>
  </r>
  <r>
    <d v="2025-11-29T00:00:00"/>
    <n v="542295"/>
    <n v="506490.14"/>
    <n v="435"/>
    <n v="2025"/>
    <n v="11"/>
    <x v="22"/>
    <n v="6"/>
    <x v="1"/>
    <x v="5"/>
  </r>
  <r>
    <d v="2025-11-30T00:00:00"/>
    <n v="509961"/>
    <n v="503966.14"/>
    <n v="417"/>
    <n v="2025"/>
    <n v="11"/>
    <x v="22"/>
    <n v="7"/>
    <x v="1"/>
    <x v="6"/>
  </r>
  <r>
    <d v="2025-12-01T00:00:00"/>
    <n v="541353"/>
    <n v="506406.71"/>
    <n v="418"/>
    <n v="2025"/>
    <n v="12"/>
    <x v="23"/>
    <n v="1"/>
    <x v="0"/>
    <x v="0"/>
  </r>
  <r>
    <d v="2025-12-02T00:00:00"/>
    <n v="505320"/>
    <n v="515180.29"/>
    <n v="411"/>
    <n v="2025"/>
    <n v="12"/>
    <x v="23"/>
    <n v="2"/>
    <x v="0"/>
    <x v="1"/>
  </r>
  <r>
    <d v="2025-12-03T00:00:00"/>
    <n v="468433"/>
    <n v="510977.43"/>
    <n v="390"/>
    <n v="2025"/>
    <n v="12"/>
    <x v="23"/>
    <n v="3"/>
    <x v="0"/>
    <x v="2"/>
  </r>
  <r>
    <d v="2025-12-04T00:00:00"/>
    <n v="496531"/>
    <n v="510618.86"/>
    <n v="400"/>
    <n v="2025"/>
    <n v="12"/>
    <x v="23"/>
    <n v="4"/>
    <x v="0"/>
    <x v="3"/>
  </r>
  <r>
    <d v="2025-12-05T00:00:00"/>
    <n v="535228"/>
    <n v="514160.14"/>
    <n v="437"/>
    <n v="2025"/>
    <n v="12"/>
    <x v="23"/>
    <n v="5"/>
    <x v="0"/>
    <x v="4"/>
  </r>
  <r>
    <d v="2025-12-06T00:00:00"/>
    <n v="520952"/>
    <n v="511111.14"/>
    <n v="419"/>
    <n v="2025"/>
    <n v="12"/>
    <x v="23"/>
    <n v="6"/>
    <x v="1"/>
    <x v="5"/>
  </r>
  <r>
    <d v="2025-12-07T00:00:00"/>
    <n v="546638"/>
    <n v="516350.71"/>
    <n v="436"/>
    <n v="2025"/>
    <n v="12"/>
    <x v="23"/>
    <n v="7"/>
    <x v="1"/>
    <x v="6"/>
  </r>
  <r>
    <d v="2025-12-08T00:00:00"/>
    <n v="509651"/>
    <n v="511821.86"/>
    <n v="427"/>
    <n v="2025"/>
    <n v="12"/>
    <x v="23"/>
    <n v="1"/>
    <x v="0"/>
    <x v="0"/>
  </r>
  <r>
    <d v="2025-12-09T00:00:00"/>
    <n v="562958"/>
    <n v="520055.86"/>
    <n v="448"/>
    <n v="2025"/>
    <n v="12"/>
    <x v="23"/>
    <n v="2"/>
    <x v="0"/>
    <x v="1"/>
  </r>
  <r>
    <d v="2025-12-10T00:00:00"/>
    <n v="545222"/>
    <n v="531025.71"/>
    <n v="441"/>
    <n v="2025"/>
    <n v="12"/>
    <x v="23"/>
    <n v="3"/>
    <x v="0"/>
    <x v="2"/>
  </r>
  <r>
    <d v="2025-12-11T00:00:00"/>
    <n v="498371"/>
    <n v="531288.56999999995"/>
    <n v="403"/>
    <n v="2025"/>
    <n v="12"/>
    <x v="23"/>
    <n v="4"/>
    <x v="0"/>
    <x v="3"/>
  </r>
  <r>
    <d v="2025-12-12T00:00:00"/>
    <n v="527002"/>
    <n v="530113.43000000005"/>
    <n v="415"/>
    <n v="2025"/>
    <n v="12"/>
    <x v="23"/>
    <n v="5"/>
    <x v="0"/>
    <x v="4"/>
  </r>
  <r>
    <d v="2025-12-13T00:00:00"/>
    <n v="519788"/>
    <n v="529947.14"/>
    <n v="420"/>
    <n v="2025"/>
    <n v="12"/>
    <x v="23"/>
    <n v="6"/>
    <x v="1"/>
    <x v="5"/>
  </r>
  <r>
    <d v="2025-12-14T00:00:00"/>
    <n v="490471"/>
    <n v="521923.29"/>
    <n v="401"/>
    <n v="2025"/>
    <n v="12"/>
    <x v="23"/>
    <n v="7"/>
    <x v="1"/>
    <x v="6"/>
  </r>
  <r>
    <d v="2025-12-15T00:00:00"/>
    <n v="522364"/>
    <n v="523739.43"/>
    <n v="421"/>
    <n v="2025"/>
    <n v="12"/>
    <x v="23"/>
    <n v="1"/>
    <x v="0"/>
    <x v="0"/>
  </r>
  <r>
    <d v="2025-12-16T00:00:00"/>
    <n v="579040"/>
    <n v="526036.86"/>
    <n v="447"/>
    <n v="2025"/>
    <n v="12"/>
    <x v="23"/>
    <n v="2"/>
    <x v="0"/>
    <x v="1"/>
  </r>
  <r>
    <d v="2025-12-17T00:00:00"/>
    <n v="518385"/>
    <n v="522203"/>
    <n v="447"/>
    <n v="2025"/>
    <n v="12"/>
    <x v="23"/>
    <n v="3"/>
    <x v="0"/>
    <x v="2"/>
  </r>
  <r>
    <d v="2025-12-18T00:00:00"/>
    <n v="512439"/>
    <n v="524212.71"/>
    <n v="421"/>
    <n v="2025"/>
    <n v="12"/>
    <x v="23"/>
    <n v="4"/>
    <x v="0"/>
    <x v="3"/>
  </r>
  <r>
    <d v="2025-12-19T00:00:00"/>
    <n v="475663"/>
    <n v="516878.57"/>
    <n v="374"/>
    <n v="2025"/>
    <n v="12"/>
    <x v="23"/>
    <n v="5"/>
    <x v="0"/>
    <x v="4"/>
  </r>
  <r>
    <d v="2025-12-20T00:00:00"/>
    <n v="510858"/>
    <n v="515602.86"/>
    <n v="403"/>
    <n v="2025"/>
    <n v="12"/>
    <x v="23"/>
    <n v="6"/>
    <x v="1"/>
    <x v="5"/>
  </r>
  <r>
    <d v="2025-12-21T00:00:00"/>
    <n v="561902"/>
    <n v="525807.29"/>
    <n v="415"/>
    <n v="2025"/>
    <n v="12"/>
    <x v="23"/>
    <n v="7"/>
    <x v="1"/>
    <x v="6"/>
  </r>
  <r>
    <d v="2025-12-22T00:00:00"/>
    <n v="522932"/>
    <n v="525888.43000000005"/>
    <n v="414"/>
    <n v="2025"/>
    <n v="12"/>
    <x v="23"/>
    <n v="1"/>
    <x v="0"/>
    <x v="0"/>
  </r>
  <r>
    <d v="2025-12-23T00:00:00"/>
    <n v="525300"/>
    <n v="518211.29"/>
    <n v="423"/>
    <n v="2025"/>
    <n v="12"/>
    <x v="23"/>
    <n v="2"/>
    <x v="0"/>
    <x v="1"/>
  </r>
  <r>
    <d v="2025-12-24T00:00:00"/>
    <n v="537088"/>
    <n v="520883.14"/>
    <n v="428"/>
    <n v="2025"/>
    <n v="12"/>
    <x v="23"/>
    <n v="3"/>
    <x v="0"/>
    <x v="2"/>
  </r>
  <r>
    <d v="2025-12-25T00:00:00"/>
    <n v="545975"/>
    <n v="525674"/>
    <n v="446"/>
    <n v="2025"/>
    <n v="12"/>
    <x v="23"/>
    <n v="4"/>
    <x v="0"/>
    <x v="3"/>
  </r>
  <r>
    <d v="2025-12-26T00:00:00"/>
    <n v="546511"/>
    <n v="535795.14"/>
    <n v="430"/>
    <n v="2025"/>
    <n v="12"/>
    <x v="23"/>
    <n v="5"/>
    <x v="0"/>
    <x v="4"/>
  </r>
  <r>
    <d v="2025-12-27T00:00:00"/>
    <n v="511045"/>
    <n v="535821.86"/>
    <n v="421"/>
    <n v="2025"/>
    <n v="12"/>
    <x v="23"/>
    <n v="6"/>
    <x v="1"/>
    <x v="5"/>
  </r>
  <r>
    <d v="2025-12-28T00:00:00"/>
    <n v="485485"/>
    <n v="524905.14"/>
    <n v="396"/>
    <n v="2025"/>
    <n v="12"/>
    <x v="23"/>
    <n v="7"/>
    <x v="1"/>
    <x v="6"/>
  </r>
  <r>
    <d v="2025-12-29T00:00:00"/>
    <n v="528891"/>
    <n v="525756.43000000005"/>
    <n v="410"/>
    <n v="2025"/>
    <n v="12"/>
    <x v="23"/>
    <n v="1"/>
    <x v="0"/>
    <x v="0"/>
  </r>
  <r>
    <d v="2025-12-30T00:00:00"/>
    <n v="507609"/>
    <n v="523229.14"/>
    <n v="422"/>
    <n v="2025"/>
    <n v="12"/>
    <x v="23"/>
    <n v="2"/>
    <x v="0"/>
    <x v="1"/>
  </r>
  <r>
    <d v="2025-12-31T00:00:00"/>
    <n v="528880"/>
    <n v="522056.57"/>
    <n v="436"/>
    <n v="2025"/>
    <n v="12"/>
    <x v="23"/>
    <n v="3"/>
    <x v="0"/>
    <x v="2"/>
  </r>
  <r>
    <m/>
    <m/>
    <m/>
    <m/>
    <m/>
    <m/>
    <x v="24"/>
    <m/>
    <x v="2"/>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d v="2024-01-01T00:00:00"/>
    <x v="0"/>
    <n v="15767553"/>
    <m/>
    <x v="0"/>
    <n v="12634"/>
    <n v="2024"/>
    <n v="1"/>
    <n v="44927"/>
    <n v="0"/>
  </r>
  <r>
    <d v="2024-02-01T00:00:00"/>
    <x v="1"/>
    <n v="14736893"/>
    <n v="-6.54"/>
    <x v="0"/>
    <n v="11813"/>
    <n v="2024"/>
    <n v="2"/>
    <n v="44958"/>
    <n v="0"/>
  </r>
  <r>
    <d v="2024-03-01T00:00:00"/>
    <x v="2"/>
    <n v="15825128"/>
    <n v="7.38"/>
    <x v="0"/>
    <n v="12708"/>
    <n v="2024"/>
    <n v="3"/>
    <n v="44986"/>
    <n v="0"/>
  </r>
  <r>
    <d v="2024-04-01T00:00:00"/>
    <x v="3"/>
    <n v="15262436"/>
    <n v="-3.56"/>
    <x v="0"/>
    <n v="12152"/>
    <n v="2024"/>
    <n v="4"/>
    <n v="45017"/>
    <n v="0"/>
  </r>
  <r>
    <d v="2024-05-01T00:00:00"/>
    <x v="4"/>
    <n v="15726187"/>
    <n v="3.04"/>
    <x v="0"/>
    <n v="12705"/>
    <n v="2024"/>
    <n v="5"/>
    <n v="45047"/>
    <n v="0"/>
  </r>
  <r>
    <d v="2024-06-01T00:00:00"/>
    <x v="5"/>
    <n v="15361932"/>
    <n v="-2.3199999999999998"/>
    <x v="0"/>
    <n v="12311"/>
    <n v="2024"/>
    <n v="6"/>
    <n v="45078"/>
    <n v="0"/>
  </r>
  <r>
    <d v="2024-07-01T00:00:00"/>
    <x v="6"/>
    <n v="15995406"/>
    <n v="4.12"/>
    <x v="0"/>
    <n v="12742"/>
    <n v="2024"/>
    <n v="7"/>
    <n v="45108"/>
    <n v="0"/>
  </r>
  <r>
    <d v="2024-08-01T00:00:00"/>
    <x v="7"/>
    <n v="16011404"/>
    <n v="0.1"/>
    <x v="0"/>
    <n v="12818"/>
    <n v="2024"/>
    <n v="8"/>
    <n v="45139"/>
    <n v="0"/>
  </r>
  <r>
    <d v="2024-09-01T00:00:00"/>
    <x v="8"/>
    <n v="15248803"/>
    <n v="-4.76"/>
    <x v="0"/>
    <n v="12243"/>
    <n v="2024"/>
    <n v="9"/>
    <n v="45170"/>
    <n v="0"/>
  </r>
  <r>
    <d v="2024-10-01T00:00:00"/>
    <x v="9"/>
    <n v="15891827"/>
    <n v="4.22"/>
    <x v="0"/>
    <n v="12706"/>
    <n v="2024"/>
    <n v="10"/>
    <n v="45200"/>
    <n v="0"/>
  </r>
  <r>
    <d v="2024-11-01T00:00:00"/>
    <x v="10"/>
    <n v="15284669"/>
    <n v="-3.82"/>
    <x v="0"/>
    <n v="12300"/>
    <n v="2024"/>
    <n v="11"/>
    <n v="45231"/>
    <n v="0"/>
  </r>
  <r>
    <d v="2024-12-01T00:00:00"/>
    <x v="11"/>
    <n v="15696731"/>
    <n v="2.7"/>
    <x v="0"/>
    <n v="12633"/>
    <n v="2024"/>
    <n v="12"/>
    <n v="45261"/>
    <n v="0"/>
  </r>
  <r>
    <d v="2025-01-01T00:00:00"/>
    <x v="12"/>
    <n v="15703282"/>
    <n v="0.04"/>
    <x v="0"/>
    <n v="12604"/>
    <n v="2025"/>
    <n v="1"/>
    <n v="45292"/>
    <n v="0"/>
  </r>
  <r>
    <d v="2025-02-01T00:00:00"/>
    <x v="13"/>
    <n v="14289832"/>
    <n v="-9"/>
    <x v="1"/>
    <n v="11431"/>
    <n v="2025"/>
    <n v="2"/>
    <n v="45323"/>
    <n v="14736893"/>
  </r>
  <r>
    <d v="2025-03-01T00:00:00"/>
    <x v="14"/>
    <n v="16005941"/>
    <n v="12.01"/>
    <x v="2"/>
    <n v="12821"/>
    <n v="2025"/>
    <n v="3"/>
    <n v="45352"/>
    <n v="15825128"/>
  </r>
  <r>
    <d v="2025-04-01T00:00:00"/>
    <x v="15"/>
    <n v="15263784"/>
    <n v="-4.6399999999999997"/>
    <x v="3"/>
    <n v="12317"/>
    <n v="2025"/>
    <n v="4"/>
    <n v="45383"/>
    <n v="15262436"/>
  </r>
  <r>
    <d v="2025-05-01T00:00:00"/>
    <x v="16"/>
    <n v="15728019"/>
    <n v="3.04"/>
    <x v="3"/>
    <n v="12563"/>
    <n v="2025"/>
    <n v="5"/>
    <n v="45413"/>
    <n v="15726187"/>
  </r>
  <r>
    <d v="2025-06-01T00:00:00"/>
    <x v="17"/>
    <n v="15327545"/>
    <n v="-2.5499999999999998"/>
    <x v="3"/>
    <n v="12243"/>
    <n v="2025"/>
    <n v="6"/>
    <n v="45444"/>
    <n v="15361932"/>
  </r>
  <r>
    <d v="2025-07-01T00:00:00"/>
    <x v="18"/>
    <n v="15847679"/>
    <n v="3.39"/>
    <x v="4"/>
    <n v="12735"/>
    <n v="2025"/>
    <n v="7"/>
    <n v="45474"/>
    <n v="15995406"/>
  </r>
  <r>
    <d v="2025-08-01T00:00:00"/>
    <x v="19"/>
    <n v="15880968"/>
    <n v="0.21"/>
    <x v="4"/>
    <n v="12755"/>
    <n v="2025"/>
    <n v="8"/>
    <n v="45505"/>
    <n v="16011404"/>
  </r>
  <r>
    <d v="2025-09-01T00:00:00"/>
    <x v="20"/>
    <n v="15274213"/>
    <n v="-3.82"/>
    <x v="3"/>
    <n v="12364"/>
    <n v="2025"/>
    <n v="9"/>
    <n v="45536"/>
    <n v="15248803"/>
  </r>
  <r>
    <d v="2025-10-01T00:00:00"/>
    <x v="21"/>
    <n v="15735593"/>
    <n v="3.02"/>
    <x v="4"/>
    <n v="12654"/>
    <n v="2025"/>
    <n v="10"/>
    <n v="45566"/>
    <n v="15891827"/>
  </r>
  <r>
    <d v="2025-11-01T00:00:00"/>
    <x v="22"/>
    <n v="15335526"/>
    <n v="-2.54"/>
    <x v="3"/>
    <n v="12323"/>
    <n v="2025"/>
    <n v="11"/>
    <n v="45597"/>
    <n v="15284669"/>
  </r>
  <r>
    <d v="2025-12-01T00:00:00"/>
    <x v="23"/>
    <n v="16188285"/>
    <n v="5.56"/>
    <x v="5"/>
    <n v="13020"/>
    <n v="2025"/>
    <n v="12"/>
    <n v="45627"/>
    <n v="15696731"/>
  </r>
  <r>
    <m/>
    <x v="24"/>
    <m/>
    <m/>
    <x v="6"/>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50658989"/>
    <n v="0.40350000000000003"/>
    <n v="99875"/>
  </r>
  <r>
    <x v="1"/>
    <n v="120268275"/>
    <n v="0.3221"/>
    <n v="99865"/>
  </r>
  <r>
    <x v="2"/>
    <n v="102462372"/>
    <n v="0.27439999999999998"/>
    <n v="9985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6939733"/>
    <n v="16505"/>
  </r>
  <r>
    <x v="1"/>
    <n v="17124789"/>
    <n v="16615"/>
  </r>
  <r>
    <x v="2"/>
    <n v="16901708"/>
    <n v="16614"/>
  </r>
  <r>
    <x v="3"/>
    <n v="17199616"/>
    <n v="16688"/>
  </r>
  <r>
    <x v="4"/>
    <n v="17116443"/>
    <n v="16729"/>
  </r>
  <r>
    <x v="5"/>
    <n v="17180083"/>
    <n v="1670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9876871"/>
    <n v="16509"/>
  </r>
  <r>
    <x v="1"/>
    <n v="19926196"/>
    <n v="16532"/>
  </r>
  <r>
    <x v="2"/>
    <n v="19920212"/>
    <n v="16656"/>
  </r>
  <r>
    <x v="3"/>
    <n v="20376658"/>
    <n v="16834"/>
  </r>
  <r>
    <x v="4"/>
    <n v="20077016"/>
    <n v="16691"/>
  </r>
  <r>
    <x v="5"/>
    <n v="20091322"/>
    <n v="16643"/>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37935856"/>
    <n v="25.18"/>
    <n v="25046"/>
  </r>
  <r>
    <x v="1"/>
    <n v="37606169"/>
    <n v="24.96"/>
    <n v="24971"/>
  </r>
  <r>
    <x v="2"/>
    <n v="37403664"/>
    <n v="24.83"/>
    <n v="24874"/>
  </r>
  <r>
    <x v="3"/>
    <n v="37713300"/>
    <n v="25.03"/>
    <n v="249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82DAB0-5033-4B90-B892-E134902C914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Year">
  <location ref="A1:C4" firstHeaderRow="0" firstDataRow="1" firstDataCol="1"/>
  <pivotFields count="7">
    <pivotField showAll="0"/>
    <pivotField dataField="1" showAll="0"/>
    <pivotField showAll="0"/>
    <pivotField dataField="1" showAll="0"/>
    <pivotField axis="axisRow" showAll="0">
      <items count="4">
        <item x="0"/>
        <item x="1"/>
        <item h="1" x="2"/>
        <item t="default"/>
      </items>
    </pivotField>
    <pivotField showAll="0"/>
    <pivotField showAll="0"/>
  </pivotFields>
  <rowFields count="1">
    <field x="4"/>
  </rowFields>
  <rowItems count="3">
    <i>
      <x/>
    </i>
    <i>
      <x v="1"/>
    </i>
    <i t="grand">
      <x/>
    </i>
  </rowItems>
  <colFields count="1">
    <field x="-2"/>
  </colFields>
  <colItems count="2">
    <i>
      <x/>
    </i>
    <i i="1">
      <x v="1"/>
    </i>
  </colItems>
  <dataFields count="2">
    <dataField name="Sum of order_count" fld="3" baseField="0" baseItem="0"/>
    <dataField name="Sum of daily_revenue" fld="1" baseField="0"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B4044D-CCBD-49D0-AB62-8AAEC59E594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YearMonth">
  <location ref="A17:C42" firstHeaderRow="0" firstDataRow="1" firstDataCol="1"/>
  <pivotFields count="7">
    <pivotField showAll="0"/>
    <pivotField dataField="1" showAll="0"/>
    <pivotField dataField="1" showAll="0"/>
    <pivotField showAll="0"/>
    <pivotField showAll="0"/>
    <pivotField showAll="0"/>
    <pivotField axis="axisRow" showAll="0">
      <items count="26">
        <item x="0"/>
        <item x="1"/>
        <item x="2"/>
        <item x="3"/>
        <item x="4"/>
        <item x="5"/>
        <item x="6"/>
        <item x="7"/>
        <item x="8"/>
        <item x="9"/>
        <item x="10"/>
        <item x="11"/>
        <item x="12"/>
        <item x="13"/>
        <item x="14"/>
        <item x="15"/>
        <item x="16"/>
        <item x="17"/>
        <item x="18"/>
        <item x="19"/>
        <item x="20"/>
        <item x="21"/>
        <item x="22"/>
        <item x="23"/>
        <item h="1" x="24"/>
        <item t="default"/>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daily_revenue" fld="1" baseField="6" baseItem="0"/>
    <dataField name="Sum of revenue_7d_ma" fld="2" baseField="0" baseItem="0"/>
  </dataFields>
  <chartFormats count="2">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3C4560-4D5F-45E0-AF78-A5579FA300B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B26" firstHeaderRow="1" firstDataRow="1" firstDataCol="1"/>
  <pivotFields count="10">
    <pivotField showAll="0"/>
    <pivotField dataField="1" showAll="0"/>
    <pivotField showAll="0"/>
    <pivotField showAll="0"/>
    <pivotField showAll="0"/>
    <pivotField showAll="0"/>
    <pivotField showAll="0"/>
    <pivotField showAll="0"/>
    <pivotField showAll="0"/>
    <pivotField axis="axisRow" showAll="0">
      <items count="9">
        <item x="6"/>
        <item x="0"/>
        <item x="1"/>
        <item x="2"/>
        <item x="3"/>
        <item x="4"/>
        <item x="5"/>
        <item h="1" x="7"/>
        <item t="default"/>
      </items>
    </pivotField>
  </pivotFields>
  <rowFields count="1">
    <field x="9"/>
  </rowFields>
  <rowItems count="8">
    <i>
      <x/>
    </i>
    <i>
      <x v="1"/>
    </i>
    <i>
      <x v="2"/>
    </i>
    <i>
      <x v="3"/>
    </i>
    <i>
      <x v="4"/>
    </i>
    <i>
      <x v="5"/>
    </i>
    <i>
      <x v="6"/>
    </i>
    <i t="grand">
      <x/>
    </i>
  </rowItems>
  <colItems count="1">
    <i/>
  </colItems>
  <dataFields count="1">
    <dataField name="Average of daily_revenue" fld="1" subtotal="average"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2737BE-17D2-459E-A6A1-C45B1172E5A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4" firstHeaderRow="1" firstDataRow="1" firstDataCol="1"/>
  <pivotFields count="10">
    <pivotField showAll="0"/>
    <pivotField dataField="1" showAll="0"/>
    <pivotField showAll="0"/>
    <pivotField showAll="0"/>
    <pivotField showAll="0"/>
    <pivotField showAll="0"/>
    <pivotField showAll="0"/>
    <pivotField showAll="0"/>
    <pivotField axis="axisRow" showAll="0">
      <items count="4">
        <item x="0"/>
        <item x="1"/>
        <item h="1" x="2"/>
        <item t="default"/>
      </items>
    </pivotField>
    <pivotField showAll="0"/>
  </pivotFields>
  <rowFields count="1">
    <field x="8"/>
  </rowFields>
  <rowItems count="3">
    <i>
      <x/>
    </i>
    <i>
      <x v="1"/>
    </i>
    <i t="grand">
      <x/>
    </i>
  </rowItems>
  <colItems count="1">
    <i/>
  </colItems>
  <dataFields count="1">
    <dataField name="Average of daily_revenue" fld="1" subtotal="average" baseField="8"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29AA26-90EC-4179-AF79-5DDE416F9952}"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8:C53" firstHeaderRow="0" firstDataRow="1" firstDataCol="1"/>
  <pivotFields count="10">
    <pivotField showAll="0"/>
    <pivotField axis="axisRow" showAll="0">
      <items count="26">
        <item x="0"/>
        <item x="1"/>
        <item x="2"/>
        <item x="3"/>
        <item x="4"/>
        <item x="5"/>
        <item x="6"/>
        <item x="7"/>
        <item x="8"/>
        <item x="9"/>
        <item x="10"/>
        <item x="11"/>
        <item x="12"/>
        <item x="13"/>
        <item x="14"/>
        <item x="15"/>
        <item x="16"/>
        <item x="17"/>
        <item x="18"/>
        <item x="19"/>
        <item x="20"/>
        <item x="21"/>
        <item x="22"/>
        <item x="23"/>
        <item h="1" x="24"/>
        <item t="default"/>
      </items>
    </pivotField>
    <pivotField dataField="1" showAll="0"/>
    <pivotField showAll="0"/>
    <pivotField dataField="1" showAll="0">
      <items count="8">
        <item x="1"/>
        <item x="4"/>
        <item x="3"/>
        <item x="2"/>
        <item x="5"/>
        <item x="0"/>
        <item x="6"/>
        <item t="default"/>
      </items>
    </pivotField>
    <pivotField showAll="0"/>
    <pivotField showAll="0"/>
    <pivotField showAll="0"/>
    <pivotField showAll="0"/>
    <pivotField showAl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Max of YoY_growth_pct" fld="4" subtotal="max" baseField="1" baseItem="0"/>
    <dataField name="Sum of monthly_revenue" fld="2" baseField="0" baseItem="0"/>
  </dataFields>
  <chartFormats count="2">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E59C3F-7E7A-4976-8C1E-87D189037B47}"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C26" firstHeaderRow="0" firstDataRow="1" firstDataCol="1"/>
  <pivotFields count="10">
    <pivotField showAll="0"/>
    <pivotField axis="axisRow" showAll="0">
      <items count="26">
        <item x="0"/>
        <item x="1"/>
        <item x="2"/>
        <item x="3"/>
        <item x="4"/>
        <item x="5"/>
        <item x="6"/>
        <item x="7"/>
        <item x="8"/>
        <item x="9"/>
        <item x="10"/>
        <item x="11"/>
        <item x="12"/>
        <item x="13"/>
        <item x="14"/>
        <item x="15"/>
        <item x="16"/>
        <item x="17"/>
        <item x="18"/>
        <item x="19"/>
        <item x="20"/>
        <item x="21"/>
        <item x="22"/>
        <item x="23"/>
        <item h="1" x="24"/>
        <item t="default"/>
      </items>
    </pivotField>
    <pivotField dataField="1" showAll="0"/>
    <pivotField dataField="1" showAll="0"/>
    <pivotField showAll="0">
      <items count="8">
        <item x="1"/>
        <item x="4"/>
        <item x="3"/>
        <item x="2"/>
        <item x="5"/>
        <item x="0"/>
        <item x="6"/>
        <item t="default"/>
      </items>
    </pivotField>
    <pivotField showAll="0"/>
    <pivotField showAll="0"/>
    <pivotField showAll="0"/>
    <pivotField showAll="0"/>
    <pivotField showAl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monthly_revenue" fld="2" baseField="0" baseItem="0"/>
    <dataField name="Max of MoM_growth_pct" fld="3" subtotal="max" baseField="1"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590F5D-A561-4B1D-9563-B2EF47B093DC}"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1:I5" firstHeaderRow="1" firstDataRow="1" firstDataCol="1"/>
  <pivotFields count="4">
    <pivotField axis="axisRow" showAll="0">
      <items count="4">
        <item x="0"/>
        <item x="1"/>
        <item x="2"/>
        <item t="default"/>
      </items>
    </pivotField>
    <pivotField dataField="1" showAll="0"/>
    <pivotField showAll="0"/>
    <pivotField showAll="0"/>
  </pivotFields>
  <rowFields count="1">
    <field x="0"/>
  </rowFields>
  <rowItems count="4">
    <i>
      <x/>
    </i>
    <i>
      <x v="1"/>
    </i>
    <i>
      <x v="2"/>
    </i>
    <i t="grand">
      <x/>
    </i>
  </rowItems>
  <colItems count="1">
    <i/>
  </colItems>
  <dataFields count="1">
    <dataField name="Sum of total_revenu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0E24BF-CAAA-4883-B42B-514850148AEC}"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F4" firstHeaderRow="1" firstDataRow="1" firstDataCol="0" rowPageCount="1" colPageCount="1"/>
  <pivotFields count="4">
    <pivotField axis="axisPage" showAll="0">
      <items count="4">
        <item x="0"/>
        <item x="1"/>
        <item x="2"/>
        <item t="default"/>
      </items>
    </pivotField>
    <pivotField showAll="0"/>
    <pivotField dataField="1" showAll="0"/>
    <pivotField showAll="0"/>
  </pivotFields>
  <rowItems count="1">
    <i/>
  </rowItems>
  <colItems count="1">
    <i/>
  </colItems>
  <pageFields count="1">
    <pageField fld="0" item="0" hier="-1"/>
  </pageFields>
  <dataFields count="1">
    <dataField name="Sum of share_pct" fld="2" baseField="0" baseItem="0"/>
  </dataFields>
  <chartFormats count="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2AD6F2-9345-4E5E-AEA9-CC0DD3223901}" name="PivotTable2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52:F57" firstHeaderRow="1" firstDataRow="1" firstDataCol="1"/>
  <pivotFields count="4">
    <pivotField axis="axisRow" showAll="0">
      <items count="5">
        <item x="0"/>
        <item x="1"/>
        <item x="2"/>
        <item x="3"/>
        <item t="default"/>
      </items>
    </pivotField>
    <pivotField showAll="0"/>
    <pivotField dataField="1" showAll="0"/>
    <pivotField showAll="0"/>
  </pivotFields>
  <rowFields count="1">
    <field x="0"/>
  </rowFields>
  <rowItems count="5">
    <i>
      <x/>
    </i>
    <i>
      <x v="1"/>
    </i>
    <i>
      <x v="2"/>
    </i>
    <i>
      <x v="3"/>
    </i>
    <i t="grand">
      <x/>
    </i>
  </rowItems>
  <colItems count="1">
    <i/>
  </colItems>
  <dataFields count="1">
    <dataField name="Sum of pct_within_pos" fld="2"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250D30-9D5E-40BC-9AAB-265BF4BDF91A}" name="PivotTable2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43:G48" firstHeaderRow="0" firstDataRow="1" firstDataCol="1"/>
  <pivotFields count="4">
    <pivotField axis="axisRow" showAll="0">
      <items count="5">
        <item x="0"/>
        <item x="1"/>
        <item x="2"/>
        <item x="3"/>
        <item t="default"/>
      </items>
    </pivotField>
    <pivotField dataField="1" showAll="0"/>
    <pivotField showAll="0"/>
    <pivotField dataField="1" showAll="0"/>
  </pivotFields>
  <rowFields count="1">
    <field x="0"/>
  </rowFields>
  <rowItems count="5">
    <i>
      <x/>
    </i>
    <i>
      <x v="1"/>
    </i>
    <i>
      <x v="2"/>
    </i>
    <i>
      <x v="3"/>
    </i>
    <i t="grand">
      <x/>
    </i>
  </rowItems>
  <colFields count="1">
    <field x="-2"/>
  </colFields>
  <colItems count="2">
    <i>
      <x/>
    </i>
    <i i="1">
      <x v="1"/>
    </i>
  </colItems>
  <dataFields count="2">
    <dataField name="Sum of total_revenue" fld="1" baseField="0" baseItem="0"/>
    <dataField name="Sum of order_count"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06F439-B2CB-4983-ABA6-856531C75B77}" name="PivotTable1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30:G37" firstHeaderRow="0" firstDataRow="1" firstDataCol="1"/>
  <pivotFields count="3">
    <pivotField axis="axisRow" showAll="0">
      <items count="7">
        <item x="0"/>
        <item x="1"/>
        <item x="2"/>
        <item x="3"/>
        <item x="4"/>
        <item x="5"/>
        <item t="default"/>
      </items>
    </pivotField>
    <pivotField dataField="1" showAll="0"/>
    <pivotField dataField="1" showAll="0"/>
  </pivotFields>
  <rowFields count="1">
    <field x="0"/>
  </rowFields>
  <rowItems count="7">
    <i>
      <x/>
    </i>
    <i>
      <x v="1"/>
    </i>
    <i>
      <x v="2"/>
    </i>
    <i>
      <x v="3"/>
    </i>
    <i>
      <x v="4"/>
    </i>
    <i>
      <x v="5"/>
    </i>
    <i t="grand">
      <x/>
    </i>
  </rowItems>
  <colFields count="1">
    <field x="-2"/>
  </colFields>
  <colItems count="2">
    <i>
      <x/>
    </i>
    <i i="1">
      <x v="1"/>
    </i>
  </colItems>
  <dataFields count="2">
    <dataField name="Sum of total_revenue" fld="1" baseField="0" baseItem="0"/>
    <dataField name="Sum of order_coun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8A3840-8233-49DF-ACBE-6E7B2EADAB6D}"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6:G23" firstHeaderRow="0" firstDataRow="1" firstDataCol="1"/>
  <pivotFields count="3">
    <pivotField axis="axisRow" showAll="0">
      <items count="7">
        <item x="0"/>
        <item x="1"/>
        <item x="2"/>
        <item x="3"/>
        <item x="4"/>
        <item x="5"/>
        <item t="default"/>
      </items>
    </pivotField>
    <pivotField dataField="1" showAll="0"/>
    <pivotField dataField="1" showAll="0"/>
  </pivotFields>
  <rowFields count="1">
    <field x="0"/>
  </rowFields>
  <rowItems count="7">
    <i>
      <x/>
    </i>
    <i>
      <x v="1"/>
    </i>
    <i>
      <x v="2"/>
    </i>
    <i>
      <x v="3"/>
    </i>
    <i>
      <x v="4"/>
    </i>
    <i>
      <x v="5"/>
    </i>
    <i t="grand">
      <x/>
    </i>
  </rowItems>
  <colFields count="1">
    <field x="-2"/>
  </colFields>
  <colItems count="2">
    <i>
      <x/>
    </i>
    <i i="1">
      <x v="1"/>
    </i>
  </colItems>
  <dataFields count="2">
    <dataField name="Sum of total_revenue" fld="1" baseField="0" baseItem="0"/>
    <dataField name="Sum of order_coun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C54D4D1D-509D-48D8-8099-446C25331DC6}" autoFormatId="16" applyNumberFormats="0" applyBorderFormats="0" applyFontFormats="0" applyPatternFormats="0" applyAlignmentFormats="0" applyWidthHeightFormats="0">
  <queryTableRefresh nextId="14" unboundColumnsRight="6">
    <queryTableFields count="10">
      <queryTableField id="1" name="Order_Date" tableColumnId="1"/>
      <queryTableField id="2" name="daily_revenue" tableColumnId="2"/>
      <queryTableField id="3" name="revenue_7d_ma" tableColumnId="3"/>
      <queryTableField id="4" name="order_count" tableColumnId="4"/>
      <queryTableField id="7" dataBound="0" tableColumnId="7"/>
      <queryTableField id="8" dataBound="0" tableColumnId="8"/>
      <queryTableField id="9" dataBound="0" tableColumnId="9"/>
      <queryTableField id="10" dataBound="0" tableColumnId="10"/>
      <queryTableField id="12" dataBound="0" tableColumnId="12"/>
      <queryTableField id="13"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F416B158-2778-4A87-B85B-DD2E33F3498B}" autoFormatId="16" applyNumberFormats="0" applyBorderFormats="0" applyFontFormats="0" applyPatternFormats="0" applyAlignmentFormats="0" applyWidthHeightFormats="0">
  <queryTableRefresh nextId="17" unboundColumnsRight="4">
    <queryTableFields count="10">
      <queryTableField id="1" name="month" tableColumnId="1"/>
      <queryTableField id="12" dataBound="0" tableColumnId="12"/>
      <queryTableField id="2" name="monthly_revenue" tableColumnId="2"/>
      <queryTableField id="3" name="growth_pct" tableColumnId="3"/>
      <queryTableField id="6" dataBound="0" tableColumnId="6"/>
      <queryTableField id="4" name="order_count" tableColumnId="4"/>
      <queryTableField id="10" dataBound="0" tableColumnId="10"/>
      <queryTableField id="7" dataBound="0" tableColumnId="7"/>
      <queryTableField id="9" dataBound="0" tableColumnId="9"/>
      <queryTableField id="16" dataBound="0"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1F8C74DD-2226-42BF-AED2-234E69294C7B}" autoFormatId="16" applyNumberFormats="0" applyBorderFormats="0" applyFontFormats="0" applyPatternFormats="0" applyAlignmentFormats="0" applyWidthHeightFormats="0">
  <queryTableRefresh nextId="5">
    <queryTableFields count="4">
      <queryTableField id="1" name="Channel" tableColumnId="1"/>
      <queryTableField id="2" name="total_revenue" tableColumnId="2"/>
      <queryTableField id="3" name="share_pct" tableColumnId="3"/>
      <queryTableField id="4" name="order_count"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connectionId="7" xr16:uid="{610CA7BE-EE36-4386-967C-A20D72C9C3C2}" autoFormatId="16" applyNumberFormats="0" applyBorderFormats="0" applyFontFormats="0" applyPatternFormats="0" applyAlignmentFormats="0" applyWidthHeightFormats="0">
  <queryTableRefresh nextId="4">
    <queryTableFields count="3">
      <queryTableField id="1" name="Product_Category" tableColumnId="1"/>
      <queryTableField id="2" name="total_revenue" tableColumnId="2"/>
      <queryTableField id="3" name="order_count"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6" xr16:uid="{C38D9226-CE79-4878-B97F-E55D107DBBBB}" autoFormatId="16" applyNumberFormats="0" applyBorderFormats="0" applyFontFormats="0" applyPatternFormats="0" applyAlignmentFormats="0" applyWidthHeightFormats="0">
  <queryTableRefresh nextId="4">
    <queryTableFields count="3">
      <queryTableField id="1" name="City" tableColumnId="1"/>
      <queryTableField id="2" name="total_revenue" tableColumnId="2"/>
      <queryTableField id="3" name="order_count"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7" connectionId="5" xr16:uid="{9AE6FB4C-FB32-4DE6-B004-3F661F088D0E}" autoFormatId="16" applyNumberFormats="0" applyBorderFormats="0" applyFontFormats="0" applyPatternFormats="0" applyAlignmentFormats="0" applyWidthHeightFormats="0">
  <queryTableRefresh nextId="5">
    <queryTableFields count="4">
      <queryTableField id="1" name="Payment_Method" tableColumnId="1"/>
      <queryTableField id="2" name="total_revenue" tableColumnId="2"/>
      <queryTableField id="3" name="pct_within_pos" tableColumnId="3"/>
      <queryTableField id="4" name="order_count"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BDEA12D-5736-4E0C-A9B4-BE50820BB90D}" sourceName="Year">
  <pivotTables>
    <pivotTable tabId="11" name="PivotTable4"/>
  </pivotTables>
  <data>
    <tabular pivotCacheId="2125102792">
      <items count="3">
        <i x="0" s="1"/>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EA36066-A2CE-4058-A2CA-02675EFEA200}" cache="Slicer_Year" caption="Year" rowHeight="20161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80D022-80AE-4228-AA42-0E7A1FE3C205}" name="agg_orders_daily_revenue" displayName="agg_orders_daily_revenue" ref="A1:J732" tableType="queryTable" totalsRowShown="0">
  <autoFilter ref="A1:J732" xr:uid="{4880D022-80AE-4228-AA42-0E7A1FE3C205}"/>
  <tableColumns count="10">
    <tableColumn id="1" xr3:uid="{BCEB079F-1FB9-45D5-88DB-647DF99CB44F}" uniqueName="1" name="Order_Date" queryTableFieldId="1" dataDxfId="17"/>
    <tableColumn id="2" xr3:uid="{4A5DE7C7-318F-45E7-9DDF-9E6790C9511A}" uniqueName="2" name="daily_revenue" queryTableFieldId="2"/>
    <tableColumn id="3" xr3:uid="{B8C0F95B-87C4-42E4-8AA6-6442EA69C478}" uniqueName="3" name="revenue_7d_ma" queryTableFieldId="3"/>
    <tableColumn id="4" xr3:uid="{7DB63CA5-8FDD-4E45-B8A3-C7FC98AB2078}" uniqueName="4" name="order_count" queryTableFieldId="4"/>
    <tableColumn id="7" xr3:uid="{3D9A1020-0764-42C8-A765-73761B333D27}" uniqueName="7" name="Year" queryTableFieldId="7" dataDxfId="16">
      <calculatedColumnFormula>YEAR(agg_orders_daily_revenue[[#This Row],[Order_Date]])</calculatedColumnFormula>
    </tableColumn>
    <tableColumn id="8" xr3:uid="{55FE3B4F-0F33-4ACD-8492-48A17FC583B1}" uniqueName="8" name="Month" queryTableFieldId="8" dataDxfId="15">
      <calculatedColumnFormula>MONTH(agg_orders_daily_revenue[[#This Row],[Order_Date]])</calculatedColumnFormula>
    </tableColumn>
    <tableColumn id="9" xr3:uid="{9FEEC049-CBC3-4D22-ADD3-289F0B4060B4}" uniqueName="9" name="YearMonth" queryTableFieldId="9" dataDxfId="14">
      <calculatedColumnFormula>TEXT(agg_orders_daily_revenue[[#This Row],[Order_Date]],"yyyy-mm")</calculatedColumnFormula>
    </tableColumn>
    <tableColumn id="10" xr3:uid="{39565EF8-A5F6-4036-84DA-96A8C5785F11}" uniqueName="10" name="Weekday_Num" queryTableFieldId="10" dataDxfId="13">
      <calculatedColumnFormula>WEEKDAY(agg_orders_daily_revenue[[#This Row],[Order_Date]],2)</calculatedColumnFormula>
    </tableColumn>
    <tableColumn id="12" xr3:uid="{498C6ED0-8DAF-4720-B639-39CAF5F1BA3A}" uniqueName="12" name="IS_Weekend" queryTableFieldId="12" dataDxfId="0">
      <calculatedColumnFormula>IF(OR(agg_orders_daily_revenue[[#This Row],[Weekday_Num]]=6, agg_orders_daily_revenue[[#This Row],[Weekday_Num]]=7), "Weekend", "Weekday")</calculatedColumnFormula>
    </tableColumn>
    <tableColumn id="13" xr3:uid="{C776771D-9592-45FB-BDE4-D8A89FFFAB30}" uniqueName="13" name="Weekday_Name" queryTableFieldId="13" dataDxfId="12">
      <calculatedColumnFormula>TEXT(agg_orders_daily_revenue[[#This Row],[Order_Date]], "ddd")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A8CD54-401C-4A16-8675-5E6233BB855B}" name="agg_orders_monthly_revenue" displayName="agg_orders_monthly_revenue" ref="A1:J25" tableType="queryTable" totalsRowShown="0">
  <autoFilter ref="A1:J25" xr:uid="{00A8CD54-401C-4A16-8675-5E6233BB855B}"/>
  <tableColumns count="10">
    <tableColumn id="1" xr3:uid="{25D96041-2493-4DBD-A96C-C18CFBB997FB}" uniqueName="1" name="Order_Date" queryTableFieldId="1" dataDxfId="11"/>
    <tableColumn id="12" xr3:uid="{57F83325-1498-4D63-AB02-2BF163F1D45A}" uniqueName="12" name="YearMonth" queryTableFieldId="12" dataDxfId="10">
      <calculatedColumnFormula>TEXT(agg_orders_monthly_revenue[[#This Row],[Order_Date]], "yyyy-mm")</calculatedColumnFormula>
    </tableColumn>
    <tableColumn id="2" xr3:uid="{F2A2D7F9-48D2-411D-B284-093AAE7CFE4B}" uniqueName="2" name="monthly_revenue" queryTableFieldId="2"/>
    <tableColumn id="3" xr3:uid="{034447C4-7D43-46C5-AC65-92FFFE634ACB}" uniqueName="3" name="MoM_growth_pct" queryTableFieldId="3"/>
    <tableColumn id="6" xr3:uid="{BC9BED69-CE37-4E0E-B89D-857E63D2B32D}" uniqueName="6" name="YoY_growth_pct" queryTableFieldId="6" dataDxfId="9">
      <calculatedColumnFormula>IFERROR(
    ROUND(
        (agg_orders_monthly_revenue[[#This Row],[monthly_revenue]] - agg_orders_monthly_revenue[[#This Row],[LastYearRevenue]]) / agg_orders_monthly_revenue[[#This Row],[LastYearRevenue]],
        2
    ),
    ""
)</calculatedColumnFormula>
    </tableColumn>
    <tableColumn id="4" xr3:uid="{6A4CFBCA-CBC8-4E73-9BC3-B453A7799F56}" uniqueName="4" name="order_count" queryTableFieldId="4"/>
    <tableColumn id="10" xr3:uid="{D40DC55E-9F1B-4390-8C92-24C3F605D10C}" uniqueName="10" name="Year" queryTableFieldId="10" dataDxfId="8">
      <calculatedColumnFormula>YEAR(agg_orders_monthly_revenue[[#This Row],[Order_Date]])</calculatedColumnFormula>
    </tableColumn>
    <tableColumn id="7" xr3:uid="{3E6BDB78-0383-4F66-A504-D52D8966057D}" uniqueName="7" name="Month" queryTableFieldId="7" dataDxfId="7">
      <calculatedColumnFormula>MONTH(agg_orders_monthly_revenue[[#This Row],[Order_Date]])</calculatedColumnFormula>
    </tableColumn>
    <tableColumn id="9" xr3:uid="{E8AC4CA2-FB38-48AD-8278-72CB7E8BA69D}" uniqueName="9" name="EDATE" queryTableFieldId="9" dataDxfId="6">
      <calculatedColumnFormula>EDATE(agg_orders_monthly_revenue[[#This Row],[Order_Date]], -12)</calculatedColumnFormula>
    </tableColumn>
    <tableColumn id="16" xr3:uid="{42571AA3-CB5A-42B5-8D7D-719A83701869}" uniqueName="16" name="LastYearRevenue" queryTableFieldId="16"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8E46AD-D676-4761-8997-07239EEE19C0}" name="agg_orders_channel_revenue" displayName="agg_orders_channel_revenue" ref="A1:D4" tableType="queryTable" totalsRowShown="0">
  <autoFilter ref="A1:D4" xr:uid="{738E46AD-D676-4761-8997-07239EEE19C0}"/>
  <tableColumns count="4">
    <tableColumn id="1" xr3:uid="{4708FB81-DC9E-4FFA-B740-35518E34A5B3}" uniqueName="1" name="Channel" queryTableFieldId="1" dataDxfId="4"/>
    <tableColumn id="2" xr3:uid="{97164C7C-BA2A-4FA3-929B-A8DF9BF7A0AE}" uniqueName="2" name="total_revenue" queryTableFieldId="2"/>
    <tableColumn id="3" xr3:uid="{58A8CC65-DA89-4930-AD44-A9112919F239}" uniqueName="3" name="share_pct" queryTableFieldId="3"/>
    <tableColumn id="4" xr3:uid="{6F93E441-B572-4125-B114-64693B628AD4}" uniqueName="4" name="order_count"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486B5B-3274-4116-9CC3-D22F237774C3}" name="agg_orders_taobao_revenue" displayName="agg_orders_taobao_revenue" ref="A16:C22" tableType="queryTable" totalsRowShown="0">
  <autoFilter ref="A16:C22" xr:uid="{3E486B5B-3274-4116-9CC3-D22F237774C3}"/>
  <tableColumns count="3">
    <tableColumn id="1" xr3:uid="{0AAEB610-7E0A-491D-82A1-14A610129495}" uniqueName="1" name="Product_Category" queryTableFieldId="1" dataDxfId="3"/>
    <tableColumn id="2" xr3:uid="{8C0AEABE-EC06-4933-8AA0-DB55EACBA71E}" uniqueName="2" name="total_revenue" queryTableFieldId="2"/>
    <tableColumn id="3" xr3:uid="{E4018A3F-4EFF-4D7F-86D3-7D4DDE71C28D}" uniqueName="3" name="order_count"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CF61E90-E1D2-4E25-8B02-6B852B32CA51}" name="agg_orders_shopify_revenue" displayName="agg_orders_shopify_revenue" ref="A30:C36" tableType="queryTable" totalsRowShown="0">
  <autoFilter ref="A30:C36" xr:uid="{BCF61E90-E1D2-4E25-8B02-6B852B32CA51}"/>
  <tableColumns count="3">
    <tableColumn id="1" xr3:uid="{F8DD5D59-5E28-4A02-B2AA-8CCE25F66568}" uniqueName="1" name="City" queryTableFieldId="1" dataDxfId="2"/>
    <tableColumn id="2" xr3:uid="{B2894FC9-7337-4499-B3A0-1A49B12E4D95}" uniqueName="2" name="total_revenue" queryTableFieldId="2"/>
    <tableColumn id="3" xr3:uid="{EC2665AD-E909-43E7-8896-C24430F85C54}" uniqueName="3" name="order_count"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E2DCF46-6261-40E5-82AA-33031557DAC3}" name="agg_orders_payment_method_share14" displayName="agg_orders_payment_method_share14" ref="A43:D47" tableType="queryTable" totalsRowShown="0">
  <autoFilter ref="A43:D47" xr:uid="{3E2DCF46-6261-40E5-82AA-33031557DAC3}"/>
  <tableColumns count="4">
    <tableColumn id="1" xr3:uid="{6ADB9777-A8F4-4E23-AC85-C5D4098AFF46}" uniqueName="1" name="Payment_Method" queryTableFieldId="1" dataDxfId="1"/>
    <tableColumn id="2" xr3:uid="{29B4C54D-4059-4011-A522-B5872CE5675A}" uniqueName="2" name="total_revenue" queryTableFieldId="2"/>
    <tableColumn id="3" xr3:uid="{7F1F7C55-8AE6-47C3-88B6-EA45A4355684}" uniqueName="3" name="pct_within_pos" queryTableFieldId="3"/>
    <tableColumn id="4" xr3:uid="{1C168945-1947-48A5-BDCE-CFD8829CDC19}" uniqueName="4" name="order_count"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9.xml"/><Relationship Id="rId7"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table" Target="../tables/table6.xml"/><Relationship Id="rId5" Type="http://schemas.openxmlformats.org/officeDocument/2006/relationships/pivotTable" Target="../pivotTables/pivotTable11.xml"/><Relationship Id="rId10" Type="http://schemas.openxmlformats.org/officeDocument/2006/relationships/table" Target="../tables/table5.xml"/><Relationship Id="rId4" Type="http://schemas.openxmlformats.org/officeDocument/2006/relationships/pivotTable" Target="../pivotTables/pivotTable10.xml"/><Relationship Id="rId9"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34E9-33FC-46D2-BC41-3B93F876CC11}">
  <dimension ref="A1:J732"/>
  <sheetViews>
    <sheetView tabSelected="1" topLeftCell="B1" workbookViewId="0">
      <selection activeCell="I10" sqref="I10"/>
    </sheetView>
  </sheetViews>
  <sheetFormatPr defaultRowHeight="13.9" x14ac:dyDescent="0.4"/>
  <cols>
    <col min="1" max="1" width="13.265625" bestFit="1" customWidth="1"/>
    <col min="2" max="2" width="15.46484375" bestFit="1" customWidth="1"/>
    <col min="3" max="3" width="17.06640625" bestFit="1" customWidth="1"/>
    <col min="4" max="4" width="13.9296875" bestFit="1" customWidth="1"/>
    <col min="9" max="9" width="14.1328125" customWidth="1"/>
  </cols>
  <sheetData>
    <row r="1" spans="1:10" x14ac:dyDescent="0.4">
      <c r="A1" t="s">
        <v>7</v>
      </c>
      <c r="B1" t="s">
        <v>8</v>
      </c>
      <c r="C1" t="s">
        <v>9</v>
      </c>
      <c r="D1" t="s">
        <v>3</v>
      </c>
      <c r="E1" t="s">
        <v>32</v>
      </c>
      <c r="F1" t="s">
        <v>33</v>
      </c>
      <c r="G1" t="s">
        <v>35</v>
      </c>
      <c r="H1" t="s">
        <v>64</v>
      </c>
      <c r="I1" t="s">
        <v>69</v>
      </c>
      <c r="J1" t="s">
        <v>93</v>
      </c>
    </row>
    <row r="2" spans="1:10" x14ac:dyDescent="0.4">
      <c r="A2" s="1">
        <v>45292</v>
      </c>
      <c r="B2">
        <v>527744</v>
      </c>
      <c r="C2">
        <v>527744</v>
      </c>
      <c r="D2">
        <v>420</v>
      </c>
      <c r="E2">
        <f>YEAR(agg_orders_daily_revenue[[#This Row],[Order_Date]])</f>
        <v>2024</v>
      </c>
      <c r="F2">
        <f>MONTH(agg_orders_daily_revenue[[#This Row],[Order_Date]])</f>
        <v>1</v>
      </c>
      <c r="G2" t="str">
        <f>TEXT(agg_orders_daily_revenue[[#This Row],[Order_Date]],"yyyy-mm")</f>
        <v>2024-01</v>
      </c>
      <c r="H2">
        <f>WEEKDAY(agg_orders_daily_revenue[[#This Row],[Order_Date]],2)</f>
        <v>1</v>
      </c>
      <c r="I2" t="str">
        <f>IF(OR(agg_orders_daily_revenue[[#This Row],[Weekday_Num]]=6, agg_orders_daily_revenue[[#This Row],[Weekday_Num]]=7), "Weekend", "Weekday")</f>
        <v>Weekday</v>
      </c>
      <c r="J2" t="str">
        <f>TEXT(agg_orders_daily_revenue[[#This Row],[Order_Date]], "ddd")</f>
        <v>Mon</v>
      </c>
    </row>
    <row r="3" spans="1:10" x14ac:dyDescent="0.4">
      <c r="A3" s="1">
        <v>45293</v>
      </c>
      <c r="B3">
        <v>549190</v>
      </c>
      <c r="C3">
        <v>538467</v>
      </c>
      <c r="D3">
        <v>422</v>
      </c>
      <c r="E3">
        <f>YEAR(agg_orders_daily_revenue[[#This Row],[Order_Date]])</f>
        <v>2024</v>
      </c>
      <c r="F3">
        <f>MONTH(agg_orders_daily_revenue[[#This Row],[Order_Date]])</f>
        <v>1</v>
      </c>
      <c r="G3" t="str">
        <f>TEXT(agg_orders_daily_revenue[[#This Row],[Order_Date]],"yyyy-mm")</f>
        <v>2024-01</v>
      </c>
      <c r="H3">
        <f>WEEKDAY(agg_orders_daily_revenue[[#This Row],[Order_Date]],2)</f>
        <v>2</v>
      </c>
      <c r="I3" t="str">
        <f>IF(OR(agg_orders_daily_revenue[[#This Row],[Weekday_Num]]=6, agg_orders_daily_revenue[[#This Row],[Weekday_Num]]=7), "Weekend", "Weekday")</f>
        <v>Weekday</v>
      </c>
      <c r="J3" t="str">
        <f>TEXT(agg_orders_daily_revenue[[#This Row],[Order_Date]], "ddd")</f>
        <v>Tue</v>
      </c>
    </row>
    <row r="4" spans="1:10" x14ac:dyDescent="0.4">
      <c r="A4" s="1">
        <v>45294</v>
      </c>
      <c r="B4">
        <v>453156</v>
      </c>
      <c r="C4">
        <v>510030</v>
      </c>
      <c r="D4">
        <v>379</v>
      </c>
      <c r="E4">
        <f>YEAR(agg_orders_daily_revenue[[#This Row],[Order_Date]])</f>
        <v>2024</v>
      </c>
      <c r="F4">
        <f>MONTH(agg_orders_daily_revenue[[#This Row],[Order_Date]])</f>
        <v>1</v>
      </c>
      <c r="G4" t="str">
        <f>TEXT(agg_orders_daily_revenue[[#This Row],[Order_Date]],"yyyy-mm")</f>
        <v>2024-01</v>
      </c>
      <c r="H4">
        <f>WEEKDAY(agg_orders_daily_revenue[[#This Row],[Order_Date]],2)</f>
        <v>3</v>
      </c>
      <c r="I4" t="str">
        <f>IF(OR(agg_orders_daily_revenue[[#This Row],[Weekday_Num]]=6, agg_orders_daily_revenue[[#This Row],[Weekday_Num]]=7), "Weekend", "Weekday")</f>
        <v>Weekday</v>
      </c>
      <c r="J4" t="str">
        <f>TEXT(agg_orders_daily_revenue[[#This Row],[Order_Date]], "ddd")</f>
        <v>Wed</v>
      </c>
    </row>
    <row r="5" spans="1:10" x14ac:dyDescent="0.4">
      <c r="A5" s="1">
        <v>45295</v>
      </c>
      <c r="B5">
        <v>528795</v>
      </c>
      <c r="C5">
        <v>514721.25</v>
      </c>
      <c r="D5">
        <v>417</v>
      </c>
      <c r="E5">
        <f>YEAR(agg_orders_daily_revenue[[#This Row],[Order_Date]])</f>
        <v>2024</v>
      </c>
      <c r="F5">
        <f>MONTH(agg_orders_daily_revenue[[#This Row],[Order_Date]])</f>
        <v>1</v>
      </c>
      <c r="G5" t="str">
        <f>TEXT(agg_orders_daily_revenue[[#This Row],[Order_Date]],"yyyy-mm")</f>
        <v>2024-01</v>
      </c>
      <c r="H5">
        <f>WEEKDAY(agg_orders_daily_revenue[[#This Row],[Order_Date]],2)</f>
        <v>4</v>
      </c>
      <c r="I5" t="str">
        <f>IF(OR(agg_orders_daily_revenue[[#This Row],[Weekday_Num]]=6, agg_orders_daily_revenue[[#This Row],[Weekday_Num]]=7), "Weekend", "Weekday")</f>
        <v>Weekday</v>
      </c>
      <c r="J5" t="str">
        <f>TEXT(agg_orders_daily_revenue[[#This Row],[Order_Date]], "ddd")</f>
        <v>Thu</v>
      </c>
    </row>
    <row r="6" spans="1:10" x14ac:dyDescent="0.4">
      <c r="A6" s="1">
        <v>45296</v>
      </c>
      <c r="B6">
        <v>573980</v>
      </c>
      <c r="C6">
        <v>526573</v>
      </c>
      <c r="D6">
        <v>454</v>
      </c>
      <c r="E6">
        <f>YEAR(agg_orders_daily_revenue[[#This Row],[Order_Date]])</f>
        <v>2024</v>
      </c>
      <c r="F6">
        <f>MONTH(agg_orders_daily_revenue[[#This Row],[Order_Date]])</f>
        <v>1</v>
      </c>
      <c r="G6" t="str">
        <f>TEXT(agg_orders_daily_revenue[[#This Row],[Order_Date]],"yyyy-mm")</f>
        <v>2024-01</v>
      </c>
      <c r="H6">
        <f>WEEKDAY(agg_orders_daily_revenue[[#This Row],[Order_Date]],2)</f>
        <v>5</v>
      </c>
      <c r="I6" t="str">
        <f>IF(OR(agg_orders_daily_revenue[[#This Row],[Weekday_Num]]=6, agg_orders_daily_revenue[[#This Row],[Weekday_Num]]=7), "Weekend", "Weekday")</f>
        <v>Weekday</v>
      </c>
      <c r="J6" t="str">
        <f>TEXT(agg_orders_daily_revenue[[#This Row],[Order_Date]], "ddd")</f>
        <v>Fri</v>
      </c>
    </row>
    <row r="7" spans="1:10" x14ac:dyDescent="0.4">
      <c r="A7" s="1">
        <v>45297</v>
      </c>
      <c r="B7">
        <v>541934</v>
      </c>
      <c r="C7">
        <v>529133.17000000004</v>
      </c>
      <c r="D7">
        <v>441</v>
      </c>
      <c r="E7">
        <f>YEAR(agg_orders_daily_revenue[[#This Row],[Order_Date]])</f>
        <v>2024</v>
      </c>
      <c r="F7">
        <f>MONTH(agg_orders_daily_revenue[[#This Row],[Order_Date]])</f>
        <v>1</v>
      </c>
      <c r="G7" t="str">
        <f>TEXT(agg_orders_daily_revenue[[#This Row],[Order_Date]],"yyyy-mm")</f>
        <v>2024-01</v>
      </c>
      <c r="H7">
        <f>WEEKDAY(agg_orders_daily_revenue[[#This Row],[Order_Date]],2)</f>
        <v>6</v>
      </c>
      <c r="I7" t="str">
        <f>IF(OR(agg_orders_daily_revenue[[#This Row],[Weekday_Num]]=6, agg_orders_daily_revenue[[#This Row],[Weekday_Num]]=7), "Weekend", "Weekday")</f>
        <v>Weekend</v>
      </c>
      <c r="J7" t="str">
        <f>TEXT(agg_orders_daily_revenue[[#This Row],[Order_Date]], "ddd")</f>
        <v>Sat</v>
      </c>
    </row>
    <row r="8" spans="1:10" x14ac:dyDescent="0.4">
      <c r="A8" s="1">
        <v>45298</v>
      </c>
      <c r="B8">
        <v>523740</v>
      </c>
      <c r="C8">
        <v>528362.71</v>
      </c>
      <c r="D8">
        <v>426</v>
      </c>
      <c r="E8">
        <f>YEAR(agg_orders_daily_revenue[[#This Row],[Order_Date]])</f>
        <v>2024</v>
      </c>
      <c r="F8">
        <f>MONTH(agg_orders_daily_revenue[[#This Row],[Order_Date]])</f>
        <v>1</v>
      </c>
      <c r="G8" t="str">
        <f>TEXT(agg_orders_daily_revenue[[#This Row],[Order_Date]],"yyyy-mm")</f>
        <v>2024-01</v>
      </c>
      <c r="H8">
        <f>WEEKDAY(agg_orders_daily_revenue[[#This Row],[Order_Date]],2)</f>
        <v>7</v>
      </c>
      <c r="I8" t="str">
        <f>IF(OR(agg_orders_daily_revenue[[#This Row],[Weekday_Num]]=6, agg_orders_daily_revenue[[#This Row],[Weekday_Num]]=7), "Weekend", "Weekday")</f>
        <v>Weekend</v>
      </c>
      <c r="J8" t="str">
        <f>TEXT(agg_orders_daily_revenue[[#This Row],[Order_Date]], "ddd")</f>
        <v>Sun</v>
      </c>
    </row>
    <row r="9" spans="1:10" x14ac:dyDescent="0.4">
      <c r="A9" s="1">
        <v>45299</v>
      </c>
      <c r="B9">
        <v>543225</v>
      </c>
      <c r="C9">
        <v>530574.29</v>
      </c>
      <c r="D9">
        <v>440</v>
      </c>
      <c r="E9">
        <f>YEAR(agg_orders_daily_revenue[[#This Row],[Order_Date]])</f>
        <v>2024</v>
      </c>
      <c r="F9">
        <f>MONTH(agg_orders_daily_revenue[[#This Row],[Order_Date]])</f>
        <v>1</v>
      </c>
      <c r="G9" t="str">
        <f>TEXT(agg_orders_daily_revenue[[#This Row],[Order_Date]],"yyyy-mm")</f>
        <v>2024-01</v>
      </c>
      <c r="H9">
        <f>WEEKDAY(agg_orders_daily_revenue[[#This Row],[Order_Date]],2)</f>
        <v>1</v>
      </c>
      <c r="I9" t="str">
        <f>IF(OR(agg_orders_daily_revenue[[#This Row],[Weekday_Num]]=6, agg_orders_daily_revenue[[#This Row],[Weekday_Num]]=7), "Weekend", "Weekday")</f>
        <v>Weekday</v>
      </c>
      <c r="J9" t="str">
        <f>TEXT(agg_orders_daily_revenue[[#This Row],[Order_Date]], "ddd")</f>
        <v>Mon</v>
      </c>
    </row>
    <row r="10" spans="1:10" x14ac:dyDescent="0.4">
      <c r="A10" s="1">
        <v>45300</v>
      </c>
      <c r="B10">
        <v>447793</v>
      </c>
      <c r="C10">
        <v>516089</v>
      </c>
      <c r="D10">
        <v>372</v>
      </c>
      <c r="E10">
        <f>YEAR(agg_orders_daily_revenue[[#This Row],[Order_Date]])</f>
        <v>2024</v>
      </c>
      <c r="F10">
        <f>MONTH(agg_orders_daily_revenue[[#This Row],[Order_Date]])</f>
        <v>1</v>
      </c>
      <c r="G10" t="str">
        <f>TEXT(agg_orders_daily_revenue[[#This Row],[Order_Date]],"yyyy-mm")</f>
        <v>2024-01</v>
      </c>
      <c r="H10">
        <f>WEEKDAY(agg_orders_daily_revenue[[#This Row],[Order_Date]],2)</f>
        <v>2</v>
      </c>
      <c r="I10" t="str">
        <f>IF(OR(agg_orders_daily_revenue[[#This Row],[Weekday_Num]]=6, agg_orders_daily_revenue[[#This Row],[Weekday_Num]]=7), "Weekend", "Weekday")</f>
        <v>Weekday</v>
      </c>
      <c r="J10" t="str">
        <f>TEXT(agg_orders_daily_revenue[[#This Row],[Order_Date]], "ddd")</f>
        <v>Tue</v>
      </c>
    </row>
    <row r="11" spans="1:10" x14ac:dyDescent="0.4">
      <c r="A11" s="1">
        <v>45301</v>
      </c>
      <c r="B11">
        <v>525290</v>
      </c>
      <c r="C11">
        <v>526393.86</v>
      </c>
      <c r="D11">
        <v>407</v>
      </c>
      <c r="E11">
        <f>YEAR(agg_orders_daily_revenue[[#This Row],[Order_Date]])</f>
        <v>2024</v>
      </c>
      <c r="F11">
        <f>MONTH(agg_orders_daily_revenue[[#This Row],[Order_Date]])</f>
        <v>1</v>
      </c>
      <c r="G11" t="str">
        <f>TEXT(agg_orders_daily_revenue[[#This Row],[Order_Date]],"yyyy-mm")</f>
        <v>2024-01</v>
      </c>
      <c r="H11">
        <f>WEEKDAY(agg_orders_daily_revenue[[#This Row],[Order_Date]],2)</f>
        <v>3</v>
      </c>
      <c r="I11" t="str">
        <f>IF(OR(agg_orders_daily_revenue[[#This Row],[Weekday_Num]]=6, agg_orders_daily_revenue[[#This Row],[Weekday_Num]]=7), "Weekend", "Weekday")</f>
        <v>Weekday</v>
      </c>
      <c r="J11" t="str">
        <f>TEXT(agg_orders_daily_revenue[[#This Row],[Order_Date]], "ddd")</f>
        <v>Wed</v>
      </c>
    </row>
    <row r="12" spans="1:10" x14ac:dyDescent="0.4">
      <c r="A12" s="1">
        <v>45302</v>
      </c>
      <c r="B12">
        <v>486771</v>
      </c>
      <c r="C12">
        <v>520390.43</v>
      </c>
      <c r="D12">
        <v>391</v>
      </c>
      <c r="E12">
        <f>YEAR(agg_orders_daily_revenue[[#This Row],[Order_Date]])</f>
        <v>2024</v>
      </c>
      <c r="F12">
        <f>MONTH(agg_orders_daily_revenue[[#This Row],[Order_Date]])</f>
        <v>1</v>
      </c>
      <c r="G12" t="str">
        <f>TEXT(agg_orders_daily_revenue[[#This Row],[Order_Date]],"yyyy-mm")</f>
        <v>2024-01</v>
      </c>
      <c r="H12">
        <f>WEEKDAY(agg_orders_daily_revenue[[#This Row],[Order_Date]],2)</f>
        <v>4</v>
      </c>
      <c r="I12" t="str">
        <f>IF(OR(agg_orders_daily_revenue[[#This Row],[Weekday_Num]]=6, agg_orders_daily_revenue[[#This Row],[Weekday_Num]]=7), "Weekend", "Weekday")</f>
        <v>Weekday</v>
      </c>
      <c r="J12" t="str">
        <f>TEXT(agg_orders_daily_revenue[[#This Row],[Order_Date]], "ddd")</f>
        <v>Thu</v>
      </c>
    </row>
    <row r="13" spans="1:10" x14ac:dyDescent="0.4">
      <c r="A13" s="1">
        <v>45303</v>
      </c>
      <c r="B13">
        <v>505729</v>
      </c>
      <c r="C13">
        <v>510640.29</v>
      </c>
      <c r="D13">
        <v>417</v>
      </c>
      <c r="E13">
        <f>YEAR(agg_orders_daily_revenue[[#This Row],[Order_Date]])</f>
        <v>2024</v>
      </c>
      <c r="F13">
        <f>MONTH(agg_orders_daily_revenue[[#This Row],[Order_Date]])</f>
        <v>1</v>
      </c>
      <c r="G13" t="str">
        <f>TEXT(agg_orders_daily_revenue[[#This Row],[Order_Date]],"yyyy-mm")</f>
        <v>2024-01</v>
      </c>
      <c r="H13">
        <f>WEEKDAY(agg_orders_daily_revenue[[#This Row],[Order_Date]],2)</f>
        <v>5</v>
      </c>
      <c r="I13" t="str">
        <f>IF(OR(agg_orders_daily_revenue[[#This Row],[Weekday_Num]]=6, agg_orders_daily_revenue[[#This Row],[Weekday_Num]]=7), "Weekend", "Weekday")</f>
        <v>Weekday</v>
      </c>
      <c r="J13" t="str">
        <f>TEXT(agg_orders_daily_revenue[[#This Row],[Order_Date]], "ddd")</f>
        <v>Fri</v>
      </c>
    </row>
    <row r="14" spans="1:10" x14ac:dyDescent="0.4">
      <c r="A14" s="1">
        <v>45304</v>
      </c>
      <c r="B14">
        <v>530224</v>
      </c>
      <c r="C14">
        <v>508967.43</v>
      </c>
      <c r="D14">
        <v>426</v>
      </c>
      <c r="E14">
        <f>YEAR(agg_orders_daily_revenue[[#This Row],[Order_Date]])</f>
        <v>2024</v>
      </c>
      <c r="F14">
        <f>MONTH(agg_orders_daily_revenue[[#This Row],[Order_Date]])</f>
        <v>1</v>
      </c>
      <c r="G14" t="str">
        <f>TEXT(agg_orders_daily_revenue[[#This Row],[Order_Date]],"yyyy-mm")</f>
        <v>2024-01</v>
      </c>
      <c r="H14">
        <f>WEEKDAY(agg_orders_daily_revenue[[#This Row],[Order_Date]],2)</f>
        <v>6</v>
      </c>
      <c r="I14" t="str">
        <f>IF(OR(agg_orders_daily_revenue[[#This Row],[Weekday_Num]]=6, agg_orders_daily_revenue[[#This Row],[Weekday_Num]]=7), "Weekend", "Weekday")</f>
        <v>Weekend</v>
      </c>
      <c r="J14" t="str">
        <f>TEXT(agg_orders_daily_revenue[[#This Row],[Order_Date]], "ddd")</f>
        <v>Sat</v>
      </c>
    </row>
    <row r="15" spans="1:10" x14ac:dyDescent="0.4">
      <c r="A15" s="1">
        <v>45305</v>
      </c>
      <c r="B15">
        <v>502492</v>
      </c>
      <c r="C15">
        <v>505932</v>
      </c>
      <c r="D15">
        <v>397</v>
      </c>
      <c r="E15">
        <f>YEAR(agg_orders_daily_revenue[[#This Row],[Order_Date]])</f>
        <v>2024</v>
      </c>
      <c r="F15">
        <f>MONTH(agg_orders_daily_revenue[[#This Row],[Order_Date]])</f>
        <v>1</v>
      </c>
      <c r="G15" t="str">
        <f>TEXT(agg_orders_daily_revenue[[#This Row],[Order_Date]],"yyyy-mm")</f>
        <v>2024-01</v>
      </c>
      <c r="H15">
        <f>WEEKDAY(agg_orders_daily_revenue[[#This Row],[Order_Date]],2)</f>
        <v>7</v>
      </c>
      <c r="I15" t="str">
        <f>IF(OR(agg_orders_daily_revenue[[#This Row],[Weekday_Num]]=6, agg_orders_daily_revenue[[#This Row],[Weekday_Num]]=7), "Weekend", "Weekday")</f>
        <v>Weekend</v>
      </c>
      <c r="J15" t="str">
        <f>TEXT(agg_orders_daily_revenue[[#This Row],[Order_Date]], "ddd")</f>
        <v>Sun</v>
      </c>
    </row>
    <row r="16" spans="1:10" x14ac:dyDescent="0.4">
      <c r="A16" s="1">
        <v>45306</v>
      </c>
      <c r="B16">
        <v>471804</v>
      </c>
      <c r="C16">
        <v>495729</v>
      </c>
      <c r="D16">
        <v>386</v>
      </c>
      <c r="E16">
        <f>YEAR(agg_orders_daily_revenue[[#This Row],[Order_Date]])</f>
        <v>2024</v>
      </c>
      <c r="F16">
        <f>MONTH(agg_orders_daily_revenue[[#This Row],[Order_Date]])</f>
        <v>1</v>
      </c>
      <c r="G16" t="str">
        <f>TEXT(agg_orders_daily_revenue[[#This Row],[Order_Date]],"yyyy-mm")</f>
        <v>2024-01</v>
      </c>
      <c r="H16">
        <f>WEEKDAY(agg_orders_daily_revenue[[#This Row],[Order_Date]],2)</f>
        <v>1</v>
      </c>
      <c r="I16" t="str">
        <f>IF(OR(agg_orders_daily_revenue[[#This Row],[Weekday_Num]]=6, agg_orders_daily_revenue[[#This Row],[Weekday_Num]]=7), "Weekend", "Weekday")</f>
        <v>Weekday</v>
      </c>
      <c r="J16" t="str">
        <f>TEXT(agg_orders_daily_revenue[[#This Row],[Order_Date]], "ddd")</f>
        <v>Mon</v>
      </c>
    </row>
    <row r="17" spans="1:10" x14ac:dyDescent="0.4">
      <c r="A17" s="1">
        <v>45307</v>
      </c>
      <c r="B17">
        <v>479467</v>
      </c>
      <c r="C17">
        <v>500253.86</v>
      </c>
      <c r="D17">
        <v>374</v>
      </c>
      <c r="E17">
        <f>YEAR(agg_orders_daily_revenue[[#This Row],[Order_Date]])</f>
        <v>2024</v>
      </c>
      <c r="F17">
        <f>MONTH(agg_orders_daily_revenue[[#This Row],[Order_Date]])</f>
        <v>1</v>
      </c>
      <c r="G17" t="str">
        <f>TEXT(agg_orders_daily_revenue[[#This Row],[Order_Date]],"yyyy-mm")</f>
        <v>2024-01</v>
      </c>
      <c r="H17">
        <f>WEEKDAY(agg_orders_daily_revenue[[#This Row],[Order_Date]],2)</f>
        <v>2</v>
      </c>
      <c r="I17" t="str">
        <f>IF(OR(agg_orders_daily_revenue[[#This Row],[Weekday_Num]]=6, agg_orders_daily_revenue[[#This Row],[Weekday_Num]]=7), "Weekend", "Weekday")</f>
        <v>Weekday</v>
      </c>
      <c r="J17" t="str">
        <f>TEXT(agg_orders_daily_revenue[[#This Row],[Order_Date]], "ddd")</f>
        <v>Tue</v>
      </c>
    </row>
    <row r="18" spans="1:10" x14ac:dyDescent="0.4">
      <c r="A18" s="1">
        <v>45308</v>
      </c>
      <c r="B18">
        <v>519307</v>
      </c>
      <c r="C18">
        <v>499399.14</v>
      </c>
      <c r="D18">
        <v>405</v>
      </c>
      <c r="E18">
        <f>YEAR(agg_orders_daily_revenue[[#This Row],[Order_Date]])</f>
        <v>2024</v>
      </c>
      <c r="F18">
        <f>MONTH(agg_orders_daily_revenue[[#This Row],[Order_Date]])</f>
        <v>1</v>
      </c>
      <c r="G18" t="str">
        <f>TEXT(agg_orders_daily_revenue[[#This Row],[Order_Date]],"yyyy-mm")</f>
        <v>2024-01</v>
      </c>
      <c r="H18">
        <f>WEEKDAY(agg_orders_daily_revenue[[#This Row],[Order_Date]],2)</f>
        <v>3</v>
      </c>
      <c r="I18" t="str">
        <f>IF(OR(agg_orders_daily_revenue[[#This Row],[Weekday_Num]]=6, agg_orders_daily_revenue[[#This Row],[Weekday_Num]]=7), "Weekend", "Weekday")</f>
        <v>Weekday</v>
      </c>
      <c r="J18" t="str">
        <f>TEXT(agg_orders_daily_revenue[[#This Row],[Order_Date]], "ddd")</f>
        <v>Wed</v>
      </c>
    </row>
    <row r="19" spans="1:10" x14ac:dyDescent="0.4">
      <c r="A19" s="1">
        <v>45309</v>
      </c>
      <c r="B19">
        <v>530188</v>
      </c>
      <c r="C19">
        <v>505601.57</v>
      </c>
      <c r="D19">
        <v>434</v>
      </c>
      <c r="E19">
        <f>YEAR(agg_orders_daily_revenue[[#This Row],[Order_Date]])</f>
        <v>2024</v>
      </c>
      <c r="F19">
        <f>MONTH(agg_orders_daily_revenue[[#This Row],[Order_Date]])</f>
        <v>1</v>
      </c>
      <c r="G19" t="str">
        <f>TEXT(agg_orders_daily_revenue[[#This Row],[Order_Date]],"yyyy-mm")</f>
        <v>2024-01</v>
      </c>
      <c r="H19">
        <f>WEEKDAY(agg_orders_daily_revenue[[#This Row],[Order_Date]],2)</f>
        <v>4</v>
      </c>
      <c r="I19" t="str">
        <f>IF(OR(agg_orders_daily_revenue[[#This Row],[Weekday_Num]]=6, agg_orders_daily_revenue[[#This Row],[Weekday_Num]]=7), "Weekend", "Weekday")</f>
        <v>Weekday</v>
      </c>
      <c r="J19" t="str">
        <f>TEXT(agg_orders_daily_revenue[[#This Row],[Order_Date]], "ddd")</f>
        <v>Thu</v>
      </c>
    </row>
    <row r="20" spans="1:10" x14ac:dyDescent="0.4">
      <c r="A20" s="1">
        <v>45310</v>
      </c>
      <c r="B20">
        <v>543010</v>
      </c>
      <c r="C20">
        <v>510927.43</v>
      </c>
      <c r="D20">
        <v>412</v>
      </c>
      <c r="E20">
        <f>YEAR(agg_orders_daily_revenue[[#This Row],[Order_Date]])</f>
        <v>2024</v>
      </c>
      <c r="F20">
        <f>MONTH(agg_orders_daily_revenue[[#This Row],[Order_Date]])</f>
        <v>1</v>
      </c>
      <c r="G20" t="str">
        <f>TEXT(agg_orders_daily_revenue[[#This Row],[Order_Date]],"yyyy-mm")</f>
        <v>2024-01</v>
      </c>
      <c r="H20">
        <f>WEEKDAY(agg_orders_daily_revenue[[#This Row],[Order_Date]],2)</f>
        <v>5</v>
      </c>
      <c r="I20" t="str">
        <f>IF(OR(agg_orders_daily_revenue[[#This Row],[Weekday_Num]]=6, agg_orders_daily_revenue[[#This Row],[Weekday_Num]]=7), "Weekend", "Weekday")</f>
        <v>Weekday</v>
      </c>
      <c r="J20" t="str">
        <f>TEXT(agg_orders_daily_revenue[[#This Row],[Order_Date]], "ddd")</f>
        <v>Fri</v>
      </c>
    </row>
    <row r="21" spans="1:10" x14ac:dyDescent="0.4">
      <c r="A21" s="1">
        <v>45311</v>
      </c>
      <c r="B21">
        <v>543009</v>
      </c>
      <c r="C21">
        <v>512753.86</v>
      </c>
      <c r="D21">
        <v>422</v>
      </c>
      <c r="E21">
        <f>YEAR(agg_orders_daily_revenue[[#This Row],[Order_Date]])</f>
        <v>2024</v>
      </c>
      <c r="F21">
        <f>MONTH(agg_orders_daily_revenue[[#This Row],[Order_Date]])</f>
        <v>1</v>
      </c>
      <c r="G21" t="str">
        <f>TEXT(agg_orders_daily_revenue[[#This Row],[Order_Date]],"yyyy-mm")</f>
        <v>2024-01</v>
      </c>
      <c r="H21">
        <f>WEEKDAY(agg_orders_daily_revenue[[#This Row],[Order_Date]],2)</f>
        <v>6</v>
      </c>
      <c r="I21" t="str">
        <f>IF(OR(agg_orders_daily_revenue[[#This Row],[Weekday_Num]]=6, agg_orders_daily_revenue[[#This Row],[Weekday_Num]]=7), "Weekend", "Weekday")</f>
        <v>Weekend</v>
      </c>
      <c r="J21" t="str">
        <f>TEXT(agg_orders_daily_revenue[[#This Row],[Order_Date]], "ddd")</f>
        <v>Sat</v>
      </c>
    </row>
    <row r="22" spans="1:10" x14ac:dyDescent="0.4">
      <c r="A22" s="1">
        <v>45312</v>
      </c>
      <c r="B22">
        <v>499322</v>
      </c>
      <c r="C22">
        <v>512301</v>
      </c>
      <c r="D22">
        <v>411</v>
      </c>
      <c r="E22">
        <f>YEAR(agg_orders_daily_revenue[[#This Row],[Order_Date]])</f>
        <v>2024</v>
      </c>
      <c r="F22">
        <f>MONTH(agg_orders_daily_revenue[[#This Row],[Order_Date]])</f>
        <v>1</v>
      </c>
      <c r="G22" t="str">
        <f>TEXT(agg_orders_daily_revenue[[#This Row],[Order_Date]],"yyyy-mm")</f>
        <v>2024-01</v>
      </c>
      <c r="H22">
        <f>WEEKDAY(agg_orders_daily_revenue[[#This Row],[Order_Date]],2)</f>
        <v>7</v>
      </c>
      <c r="I22" t="str">
        <f>IF(OR(agg_orders_daily_revenue[[#This Row],[Weekday_Num]]=6, agg_orders_daily_revenue[[#This Row],[Weekday_Num]]=7), "Weekend", "Weekday")</f>
        <v>Weekend</v>
      </c>
      <c r="J22" t="str">
        <f>TEXT(agg_orders_daily_revenue[[#This Row],[Order_Date]], "ddd")</f>
        <v>Sun</v>
      </c>
    </row>
    <row r="23" spans="1:10" x14ac:dyDescent="0.4">
      <c r="A23" s="1">
        <v>45313</v>
      </c>
      <c r="B23">
        <v>531620</v>
      </c>
      <c r="C23">
        <v>520846.14</v>
      </c>
      <c r="D23">
        <v>423</v>
      </c>
      <c r="E23">
        <f>YEAR(agg_orders_daily_revenue[[#This Row],[Order_Date]])</f>
        <v>2024</v>
      </c>
      <c r="F23">
        <f>MONTH(agg_orders_daily_revenue[[#This Row],[Order_Date]])</f>
        <v>1</v>
      </c>
      <c r="G23" t="str">
        <f>TEXT(agg_orders_daily_revenue[[#This Row],[Order_Date]],"yyyy-mm")</f>
        <v>2024-01</v>
      </c>
      <c r="H23">
        <f>WEEKDAY(agg_orders_daily_revenue[[#This Row],[Order_Date]],2)</f>
        <v>1</v>
      </c>
      <c r="I23" t="str">
        <f>IF(OR(agg_orders_daily_revenue[[#This Row],[Weekday_Num]]=6, agg_orders_daily_revenue[[#This Row],[Weekday_Num]]=7), "Weekend", "Weekday")</f>
        <v>Weekday</v>
      </c>
      <c r="J23" t="str">
        <f>TEXT(agg_orders_daily_revenue[[#This Row],[Order_Date]], "ddd")</f>
        <v>Mon</v>
      </c>
    </row>
    <row r="24" spans="1:10" x14ac:dyDescent="0.4">
      <c r="A24" s="1">
        <v>45314</v>
      </c>
      <c r="B24">
        <v>466429</v>
      </c>
      <c r="C24">
        <v>518983.57</v>
      </c>
      <c r="D24">
        <v>370</v>
      </c>
      <c r="E24">
        <f>YEAR(agg_orders_daily_revenue[[#This Row],[Order_Date]])</f>
        <v>2024</v>
      </c>
      <c r="F24">
        <f>MONTH(agg_orders_daily_revenue[[#This Row],[Order_Date]])</f>
        <v>1</v>
      </c>
      <c r="G24" t="str">
        <f>TEXT(agg_orders_daily_revenue[[#This Row],[Order_Date]],"yyyy-mm")</f>
        <v>2024-01</v>
      </c>
      <c r="H24">
        <f>WEEKDAY(agg_orders_daily_revenue[[#This Row],[Order_Date]],2)</f>
        <v>2</v>
      </c>
      <c r="I24" t="str">
        <f>IF(OR(agg_orders_daily_revenue[[#This Row],[Weekday_Num]]=6, agg_orders_daily_revenue[[#This Row],[Weekday_Num]]=7), "Weekend", "Weekday")</f>
        <v>Weekday</v>
      </c>
      <c r="J24" t="str">
        <f>TEXT(agg_orders_daily_revenue[[#This Row],[Order_Date]], "ddd")</f>
        <v>Tue</v>
      </c>
    </row>
    <row r="25" spans="1:10" x14ac:dyDescent="0.4">
      <c r="A25" s="1">
        <v>45315</v>
      </c>
      <c r="B25">
        <v>494994</v>
      </c>
      <c r="C25">
        <v>515510.29</v>
      </c>
      <c r="D25">
        <v>404</v>
      </c>
      <c r="E25">
        <f>YEAR(agg_orders_daily_revenue[[#This Row],[Order_Date]])</f>
        <v>2024</v>
      </c>
      <c r="F25">
        <f>MONTH(agg_orders_daily_revenue[[#This Row],[Order_Date]])</f>
        <v>1</v>
      </c>
      <c r="G25" t="str">
        <f>TEXT(agg_orders_daily_revenue[[#This Row],[Order_Date]],"yyyy-mm")</f>
        <v>2024-01</v>
      </c>
      <c r="H25">
        <f>WEEKDAY(agg_orders_daily_revenue[[#This Row],[Order_Date]],2)</f>
        <v>3</v>
      </c>
      <c r="I25" t="str">
        <f>IF(OR(agg_orders_daily_revenue[[#This Row],[Weekday_Num]]=6, agg_orders_daily_revenue[[#This Row],[Weekday_Num]]=7), "Weekend", "Weekday")</f>
        <v>Weekday</v>
      </c>
      <c r="J25" t="str">
        <f>TEXT(agg_orders_daily_revenue[[#This Row],[Order_Date]], "ddd")</f>
        <v>Wed</v>
      </c>
    </row>
    <row r="26" spans="1:10" x14ac:dyDescent="0.4">
      <c r="A26" s="1">
        <v>45316</v>
      </c>
      <c r="B26">
        <v>464755</v>
      </c>
      <c r="C26">
        <v>506162.71</v>
      </c>
      <c r="D26">
        <v>364</v>
      </c>
      <c r="E26">
        <f>YEAR(agg_orders_daily_revenue[[#This Row],[Order_Date]])</f>
        <v>2024</v>
      </c>
      <c r="F26">
        <f>MONTH(agg_orders_daily_revenue[[#This Row],[Order_Date]])</f>
        <v>1</v>
      </c>
      <c r="G26" t="str">
        <f>TEXT(agg_orders_daily_revenue[[#This Row],[Order_Date]],"yyyy-mm")</f>
        <v>2024-01</v>
      </c>
      <c r="H26">
        <f>WEEKDAY(agg_orders_daily_revenue[[#This Row],[Order_Date]],2)</f>
        <v>4</v>
      </c>
      <c r="I26" t="str">
        <f>IF(OR(agg_orders_daily_revenue[[#This Row],[Weekday_Num]]=6, agg_orders_daily_revenue[[#This Row],[Weekday_Num]]=7), "Weekend", "Weekday")</f>
        <v>Weekday</v>
      </c>
      <c r="J26" t="str">
        <f>TEXT(agg_orders_daily_revenue[[#This Row],[Order_Date]], "ddd")</f>
        <v>Thu</v>
      </c>
    </row>
    <row r="27" spans="1:10" x14ac:dyDescent="0.4">
      <c r="A27" s="1">
        <v>45317</v>
      </c>
      <c r="B27">
        <v>520620</v>
      </c>
      <c r="C27">
        <v>502964.14</v>
      </c>
      <c r="D27">
        <v>430</v>
      </c>
      <c r="E27">
        <f>YEAR(agg_orders_daily_revenue[[#This Row],[Order_Date]])</f>
        <v>2024</v>
      </c>
      <c r="F27">
        <f>MONTH(agg_orders_daily_revenue[[#This Row],[Order_Date]])</f>
        <v>1</v>
      </c>
      <c r="G27" t="str">
        <f>TEXT(agg_orders_daily_revenue[[#This Row],[Order_Date]],"yyyy-mm")</f>
        <v>2024-01</v>
      </c>
      <c r="H27">
        <f>WEEKDAY(agg_orders_daily_revenue[[#This Row],[Order_Date]],2)</f>
        <v>5</v>
      </c>
      <c r="I27" t="str">
        <f>IF(OR(agg_orders_daily_revenue[[#This Row],[Weekday_Num]]=6, agg_orders_daily_revenue[[#This Row],[Weekday_Num]]=7), "Weekend", "Weekday")</f>
        <v>Weekday</v>
      </c>
      <c r="J27" t="str">
        <f>TEXT(agg_orders_daily_revenue[[#This Row],[Order_Date]], "ddd")</f>
        <v>Fri</v>
      </c>
    </row>
    <row r="28" spans="1:10" x14ac:dyDescent="0.4">
      <c r="A28" s="1">
        <v>45318</v>
      </c>
      <c r="B28">
        <v>481563</v>
      </c>
      <c r="C28">
        <v>494186.14</v>
      </c>
      <c r="D28">
        <v>390</v>
      </c>
      <c r="E28">
        <f>YEAR(agg_orders_daily_revenue[[#This Row],[Order_Date]])</f>
        <v>2024</v>
      </c>
      <c r="F28">
        <f>MONTH(agg_orders_daily_revenue[[#This Row],[Order_Date]])</f>
        <v>1</v>
      </c>
      <c r="G28" t="str">
        <f>TEXT(agg_orders_daily_revenue[[#This Row],[Order_Date]],"yyyy-mm")</f>
        <v>2024-01</v>
      </c>
      <c r="H28">
        <f>WEEKDAY(agg_orders_daily_revenue[[#This Row],[Order_Date]],2)</f>
        <v>6</v>
      </c>
      <c r="I28" t="str">
        <f>IF(OR(agg_orders_daily_revenue[[#This Row],[Weekday_Num]]=6, agg_orders_daily_revenue[[#This Row],[Weekday_Num]]=7), "Weekend", "Weekday")</f>
        <v>Weekend</v>
      </c>
      <c r="J28" t="str">
        <f>TEXT(agg_orders_daily_revenue[[#This Row],[Order_Date]], "ddd")</f>
        <v>Sat</v>
      </c>
    </row>
    <row r="29" spans="1:10" x14ac:dyDescent="0.4">
      <c r="A29" s="1">
        <v>45319</v>
      </c>
      <c r="B29">
        <v>479707</v>
      </c>
      <c r="C29">
        <v>491384</v>
      </c>
      <c r="D29">
        <v>390</v>
      </c>
      <c r="E29">
        <f>YEAR(agg_orders_daily_revenue[[#This Row],[Order_Date]])</f>
        <v>2024</v>
      </c>
      <c r="F29">
        <f>MONTH(agg_orders_daily_revenue[[#This Row],[Order_Date]])</f>
        <v>1</v>
      </c>
      <c r="G29" t="str">
        <f>TEXT(agg_orders_daily_revenue[[#This Row],[Order_Date]],"yyyy-mm")</f>
        <v>2024-01</v>
      </c>
      <c r="H29">
        <f>WEEKDAY(agg_orders_daily_revenue[[#This Row],[Order_Date]],2)</f>
        <v>7</v>
      </c>
      <c r="I29" t="str">
        <f>IF(OR(agg_orders_daily_revenue[[#This Row],[Weekday_Num]]=6, agg_orders_daily_revenue[[#This Row],[Weekday_Num]]=7), "Weekend", "Weekday")</f>
        <v>Weekend</v>
      </c>
      <c r="J29" t="str">
        <f>TEXT(agg_orders_daily_revenue[[#This Row],[Order_Date]], "ddd")</f>
        <v>Sun</v>
      </c>
    </row>
    <row r="30" spans="1:10" x14ac:dyDescent="0.4">
      <c r="A30" s="1">
        <v>45320</v>
      </c>
      <c r="B30">
        <v>517620</v>
      </c>
      <c r="C30">
        <v>489384</v>
      </c>
      <c r="D30">
        <v>423</v>
      </c>
      <c r="E30">
        <f>YEAR(agg_orders_daily_revenue[[#This Row],[Order_Date]])</f>
        <v>2024</v>
      </c>
      <c r="F30">
        <f>MONTH(agg_orders_daily_revenue[[#This Row],[Order_Date]])</f>
        <v>1</v>
      </c>
      <c r="G30" t="str">
        <f>TEXT(agg_orders_daily_revenue[[#This Row],[Order_Date]],"yyyy-mm")</f>
        <v>2024-01</v>
      </c>
      <c r="H30">
        <f>WEEKDAY(agg_orders_daily_revenue[[#This Row],[Order_Date]],2)</f>
        <v>1</v>
      </c>
      <c r="I30" t="str">
        <f>IF(OR(agg_orders_daily_revenue[[#This Row],[Weekday_Num]]=6, agg_orders_daily_revenue[[#This Row],[Weekday_Num]]=7), "Weekend", "Weekday")</f>
        <v>Weekday</v>
      </c>
      <c r="J30" t="str">
        <f>TEXT(agg_orders_daily_revenue[[#This Row],[Order_Date]], "ddd")</f>
        <v>Mon</v>
      </c>
    </row>
    <row r="31" spans="1:10" x14ac:dyDescent="0.4">
      <c r="A31" s="1">
        <v>45321</v>
      </c>
      <c r="B31">
        <v>516855</v>
      </c>
      <c r="C31">
        <v>496587.71</v>
      </c>
      <c r="D31">
        <v>402</v>
      </c>
      <c r="E31">
        <f>YEAR(agg_orders_daily_revenue[[#This Row],[Order_Date]])</f>
        <v>2024</v>
      </c>
      <c r="F31">
        <f>MONTH(agg_orders_daily_revenue[[#This Row],[Order_Date]])</f>
        <v>1</v>
      </c>
      <c r="G31" t="str">
        <f>TEXT(agg_orders_daily_revenue[[#This Row],[Order_Date]],"yyyy-mm")</f>
        <v>2024-01</v>
      </c>
      <c r="H31">
        <f>WEEKDAY(agg_orders_daily_revenue[[#This Row],[Order_Date]],2)</f>
        <v>2</v>
      </c>
      <c r="I31" t="str">
        <f>IF(OR(agg_orders_daily_revenue[[#This Row],[Weekday_Num]]=6, agg_orders_daily_revenue[[#This Row],[Weekday_Num]]=7), "Weekend", "Weekday")</f>
        <v>Weekday</v>
      </c>
      <c r="J31" t="str">
        <f>TEXT(agg_orders_daily_revenue[[#This Row],[Order_Date]], "ddd")</f>
        <v>Tue</v>
      </c>
    </row>
    <row r="32" spans="1:10" x14ac:dyDescent="0.4">
      <c r="A32" s="1">
        <v>45322</v>
      </c>
      <c r="B32">
        <v>467220</v>
      </c>
      <c r="C32">
        <v>492620</v>
      </c>
      <c r="D32">
        <v>385</v>
      </c>
      <c r="E32">
        <f>YEAR(agg_orders_daily_revenue[[#This Row],[Order_Date]])</f>
        <v>2024</v>
      </c>
      <c r="F32">
        <f>MONTH(agg_orders_daily_revenue[[#This Row],[Order_Date]])</f>
        <v>1</v>
      </c>
      <c r="G32" t="str">
        <f>TEXT(agg_orders_daily_revenue[[#This Row],[Order_Date]],"yyyy-mm")</f>
        <v>2024-01</v>
      </c>
      <c r="H32">
        <f>WEEKDAY(agg_orders_daily_revenue[[#This Row],[Order_Date]],2)</f>
        <v>3</v>
      </c>
      <c r="I32" t="str">
        <f>IF(OR(agg_orders_daily_revenue[[#This Row],[Weekday_Num]]=6, agg_orders_daily_revenue[[#This Row],[Weekday_Num]]=7), "Weekend", "Weekday")</f>
        <v>Weekday</v>
      </c>
      <c r="J32" t="str">
        <f>TEXT(agg_orders_daily_revenue[[#This Row],[Order_Date]], "ddd")</f>
        <v>Wed</v>
      </c>
    </row>
    <row r="33" spans="1:10" x14ac:dyDescent="0.4">
      <c r="A33" s="1">
        <v>45323</v>
      </c>
      <c r="B33">
        <v>521493</v>
      </c>
      <c r="C33">
        <v>500725.43</v>
      </c>
      <c r="D33">
        <v>391</v>
      </c>
      <c r="E33">
        <f>YEAR(agg_orders_daily_revenue[[#This Row],[Order_Date]])</f>
        <v>2024</v>
      </c>
      <c r="F33">
        <f>MONTH(agg_orders_daily_revenue[[#This Row],[Order_Date]])</f>
        <v>2</v>
      </c>
      <c r="G33" t="str">
        <f>TEXT(agg_orders_daily_revenue[[#This Row],[Order_Date]],"yyyy-mm")</f>
        <v>2024-02</v>
      </c>
      <c r="H33">
        <f>WEEKDAY(agg_orders_daily_revenue[[#This Row],[Order_Date]],2)</f>
        <v>4</v>
      </c>
      <c r="I33" t="str">
        <f>IF(OR(agg_orders_daily_revenue[[#This Row],[Weekday_Num]]=6, agg_orders_daily_revenue[[#This Row],[Weekday_Num]]=7), "Weekend", "Weekday")</f>
        <v>Weekday</v>
      </c>
      <c r="J33" t="str">
        <f>TEXT(agg_orders_daily_revenue[[#This Row],[Order_Date]], "ddd")</f>
        <v>Thu</v>
      </c>
    </row>
    <row r="34" spans="1:10" x14ac:dyDescent="0.4">
      <c r="A34" s="1">
        <v>45324</v>
      </c>
      <c r="B34">
        <v>499920</v>
      </c>
      <c r="C34">
        <v>497768.29</v>
      </c>
      <c r="D34">
        <v>406</v>
      </c>
      <c r="E34">
        <f>YEAR(agg_orders_daily_revenue[[#This Row],[Order_Date]])</f>
        <v>2024</v>
      </c>
      <c r="F34">
        <f>MONTH(agg_orders_daily_revenue[[#This Row],[Order_Date]])</f>
        <v>2</v>
      </c>
      <c r="G34" t="str">
        <f>TEXT(agg_orders_daily_revenue[[#This Row],[Order_Date]],"yyyy-mm")</f>
        <v>2024-02</v>
      </c>
      <c r="H34">
        <f>WEEKDAY(agg_orders_daily_revenue[[#This Row],[Order_Date]],2)</f>
        <v>5</v>
      </c>
      <c r="I34" t="str">
        <f>IF(OR(agg_orders_daily_revenue[[#This Row],[Weekday_Num]]=6, agg_orders_daily_revenue[[#This Row],[Weekday_Num]]=7), "Weekend", "Weekday")</f>
        <v>Weekday</v>
      </c>
      <c r="J34" t="str">
        <f>TEXT(agg_orders_daily_revenue[[#This Row],[Order_Date]], "ddd")</f>
        <v>Fri</v>
      </c>
    </row>
    <row r="35" spans="1:10" x14ac:dyDescent="0.4">
      <c r="A35" s="1">
        <v>45325</v>
      </c>
      <c r="B35">
        <v>480591</v>
      </c>
      <c r="C35">
        <v>497629.43</v>
      </c>
      <c r="D35">
        <v>375</v>
      </c>
      <c r="E35">
        <f>YEAR(agg_orders_daily_revenue[[#This Row],[Order_Date]])</f>
        <v>2024</v>
      </c>
      <c r="F35">
        <f>MONTH(agg_orders_daily_revenue[[#This Row],[Order_Date]])</f>
        <v>2</v>
      </c>
      <c r="G35" t="str">
        <f>TEXT(agg_orders_daily_revenue[[#This Row],[Order_Date]],"yyyy-mm")</f>
        <v>2024-02</v>
      </c>
      <c r="H35">
        <f>WEEKDAY(agg_orders_daily_revenue[[#This Row],[Order_Date]],2)</f>
        <v>6</v>
      </c>
      <c r="I35" t="str">
        <f>IF(OR(agg_orders_daily_revenue[[#This Row],[Weekday_Num]]=6, agg_orders_daily_revenue[[#This Row],[Weekday_Num]]=7), "Weekend", "Weekday")</f>
        <v>Weekend</v>
      </c>
      <c r="J35" t="str">
        <f>TEXT(agg_orders_daily_revenue[[#This Row],[Order_Date]], "ddd")</f>
        <v>Sat</v>
      </c>
    </row>
    <row r="36" spans="1:10" x14ac:dyDescent="0.4">
      <c r="A36" s="1">
        <v>45326</v>
      </c>
      <c r="B36">
        <v>528003</v>
      </c>
      <c r="C36">
        <v>504528.86</v>
      </c>
      <c r="D36">
        <v>411</v>
      </c>
      <c r="E36">
        <f>YEAR(agg_orders_daily_revenue[[#This Row],[Order_Date]])</f>
        <v>2024</v>
      </c>
      <c r="F36">
        <f>MONTH(agg_orders_daily_revenue[[#This Row],[Order_Date]])</f>
        <v>2</v>
      </c>
      <c r="G36" t="str">
        <f>TEXT(agg_orders_daily_revenue[[#This Row],[Order_Date]],"yyyy-mm")</f>
        <v>2024-02</v>
      </c>
      <c r="H36">
        <f>WEEKDAY(agg_orders_daily_revenue[[#This Row],[Order_Date]],2)</f>
        <v>7</v>
      </c>
      <c r="I36" t="str">
        <f>IF(OR(agg_orders_daily_revenue[[#This Row],[Weekday_Num]]=6, agg_orders_daily_revenue[[#This Row],[Weekday_Num]]=7), "Weekend", "Weekday")</f>
        <v>Weekend</v>
      </c>
      <c r="J36" t="str">
        <f>TEXT(agg_orders_daily_revenue[[#This Row],[Order_Date]], "ddd")</f>
        <v>Sun</v>
      </c>
    </row>
    <row r="37" spans="1:10" x14ac:dyDescent="0.4">
      <c r="A37" s="1">
        <v>45327</v>
      </c>
      <c r="B37">
        <v>523667</v>
      </c>
      <c r="C37">
        <v>505392.71</v>
      </c>
      <c r="D37">
        <v>427</v>
      </c>
      <c r="E37">
        <f>YEAR(agg_orders_daily_revenue[[#This Row],[Order_Date]])</f>
        <v>2024</v>
      </c>
      <c r="F37">
        <f>MONTH(agg_orders_daily_revenue[[#This Row],[Order_Date]])</f>
        <v>2</v>
      </c>
      <c r="G37" t="str">
        <f>TEXT(agg_orders_daily_revenue[[#This Row],[Order_Date]],"yyyy-mm")</f>
        <v>2024-02</v>
      </c>
      <c r="H37">
        <f>WEEKDAY(agg_orders_daily_revenue[[#This Row],[Order_Date]],2)</f>
        <v>1</v>
      </c>
      <c r="I37" t="str">
        <f>IF(OR(agg_orders_daily_revenue[[#This Row],[Weekday_Num]]=6, agg_orders_daily_revenue[[#This Row],[Weekday_Num]]=7), "Weekend", "Weekday")</f>
        <v>Weekday</v>
      </c>
      <c r="J37" t="str">
        <f>TEXT(agg_orders_daily_revenue[[#This Row],[Order_Date]], "ddd")</f>
        <v>Mon</v>
      </c>
    </row>
    <row r="38" spans="1:10" x14ac:dyDescent="0.4">
      <c r="A38" s="1">
        <v>45328</v>
      </c>
      <c r="B38">
        <v>520129</v>
      </c>
      <c r="C38">
        <v>505860.43</v>
      </c>
      <c r="D38">
        <v>422</v>
      </c>
      <c r="E38">
        <f>YEAR(agg_orders_daily_revenue[[#This Row],[Order_Date]])</f>
        <v>2024</v>
      </c>
      <c r="F38">
        <f>MONTH(agg_orders_daily_revenue[[#This Row],[Order_Date]])</f>
        <v>2</v>
      </c>
      <c r="G38" t="str">
        <f>TEXT(agg_orders_daily_revenue[[#This Row],[Order_Date]],"yyyy-mm")</f>
        <v>2024-02</v>
      </c>
      <c r="H38">
        <f>WEEKDAY(agg_orders_daily_revenue[[#This Row],[Order_Date]],2)</f>
        <v>2</v>
      </c>
      <c r="I38" t="str">
        <f>IF(OR(agg_orders_daily_revenue[[#This Row],[Weekday_Num]]=6, agg_orders_daily_revenue[[#This Row],[Weekday_Num]]=7), "Weekend", "Weekday")</f>
        <v>Weekday</v>
      </c>
      <c r="J38" t="str">
        <f>TEXT(agg_orders_daily_revenue[[#This Row],[Order_Date]], "ddd")</f>
        <v>Tue</v>
      </c>
    </row>
    <row r="39" spans="1:10" x14ac:dyDescent="0.4">
      <c r="A39" s="1">
        <v>45329</v>
      </c>
      <c r="B39">
        <v>513464</v>
      </c>
      <c r="C39">
        <v>512466.71</v>
      </c>
      <c r="D39">
        <v>417</v>
      </c>
      <c r="E39">
        <f>YEAR(agg_orders_daily_revenue[[#This Row],[Order_Date]])</f>
        <v>2024</v>
      </c>
      <c r="F39">
        <f>MONTH(agg_orders_daily_revenue[[#This Row],[Order_Date]])</f>
        <v>2</v>
      </c>
      <c r="G39" t="str">
        <f>TEXT(agg_orders_daily_revenue[[#This Row],[Order_Date]],"yyyy-mm")</f>
        <v>2024-02</v>
      </c>
      <c r="H39">
        <f>WEEKDAY(agg_orders_daily_revenue[[#This Row],[Order_Date]],2)</f>
        <v>3</v>
      </c>
      <c r="I39" t="str">
        <f>IF(OR(agg_orders_daily_revenue[[#This Row],[Weekday_Num]]=6, agg_orders_daily_revenue[[#This Row],[Weekday_Num]]=7), "Weekend", "Weekday")</f>
        <v>Weekday</v>
      </c>
      <c r="J39" t="str">
        <f>TEXT(agg_orders_daily_revenue[[#This Row],[Order_Date]], "ddd")</f>
        <v>Wed</v>
      </c>
    </row>
    <row r="40" spans="1:10" x14ac:dyDescent="0.4">
      <c r="A40" s="1">
        <v>45330</v>
      </c>
      <c r="B40">
        <v>481854</v>
      </c>
      <c r="C40">
        <v>506804</v>
      </c>
      <c r="D40">
        <v>386</v>
      </c>
      <c r="E40">
        <f>YEAR(agg_orders_daily_revenue[[#This Row],[Order_Date]])</f>
        <v>2024</v>
      </c>
      <c r="F40">
        <f>MONTH(agg_orders_daily_revenue[[#This Row],[Order_Date]])</f>
        <v>2</v>
      </c>
      <c r="G40" t="str">
        <f>TEXT(agg_orders_daily_revenue[[#This Row],[Order_Date]],"yyyy-mm")</f>
        <v>2024-02</v>
      </c>
      <c r="H40">
        <f>WEEKDAY(agg_orders_daily_revenue[[#This Row],[Order_Date]],2)</f>
        <v>4</v>
      </c>
      <c r="I40" t="str">
        <f>IF(OR(agg_orders_daily_revenue[[#This Row],[Weekday_Num]]=6, agg_orders_daily_revenue[[#This Row],[Weekday_Num]]=7), "Weekend", "Weekday")</f>
        <v>Weekday</v>
      </c>
      <c r="J40" t="str">
        <f>TEXT(agg_orders_daily_revenue[[#This Row],[Order_Date]], "ddd")</f>
        <v>Thu</v>
      </c>
    </row>
    <row r="41" spans="1:10" x14ac:dyDescent="0.4">
      <c r="A41" s="1">
        <v>45331</v>
      </c>
      <c r="B41">
        <v>492720</v>
      </c>
      <c r="C41">
        <v>505775.43</v>
      </c>
      <c r="D41">
        <v>392</v>
      </c>
      <c r="E41">
        <f>YEAR(agg_orders_daily_revenue[[#This Row],[Order_Date]])</f>
        <v>2024</v>
      </c>
      <c r="F41">
        <f>MONTH(agg_orders_daily_revenue[[#This Row],[Order_Date]])</f>
        <v>2</v>
      </c>
      <c r="G41" t="str">
        <f>TEXT(agg_orders_daily_revenue[[#This Row],[Order_Date]],"yyyy-mm")</f>
        <v>2024-02</v>
      </c>
      <c r="H41">
        <f>WEEKDAY(agg_orders_daily_revenue[[#This Row],[Order_Date]],2)</f>
        <v>5</v>
      </c>
      <c r="I41" t="str">
        <f>IF(OR(agg_orders_daily_revenue[[#This Row],[Weekday_Num]]=6, agg_orders_daily_revenue[[#This Row],[Weekday_Num]]=7), "Weekend", "Weekday")</f>
        <v>Weekday</v>
      </c>
      <c r="J41" t="str">
        <f>TEXT(agg_orders_daily_revenue[[#This Row],[Order_Date]], "ddd")</f>
        <v>Fri</v>
      </c>
    </row>
    <row r="42" spans="1:10" x14ac:dyDescent="0.4">
      <c r="A42" s="1">
        <v>45332</v>
      </c>
      <c r="B42">
        <v>530166</v>
      </c>
      <c r="C42">
        <v>512857.57</v>
      </c>
      <c r="D42">
        <v>405</v>
      </c>
      <c r="E42">
        <f>YEAR(agg_orders_daily_revenue[[#This Row],[Order_Date]])</f>
        <v>2024</v>
      </c>
      <c r="F42">
        <f>MONTH(agg_orders_daily_revenue[[#This Row],[Order_Date]])</f>
        <v>2</v>
      </c>
      <c r="G42" t="str">
        <f>TEXT(agg_orders_daily_revenue[[#This Row],[Order_Date]],"yyyy-mm")</f>
        <v>2024-02</v>
      </c>
      <c r="H42">
        <f>WEEKDAY(agg_orders_daily_revenue[[#This Row],[Order_Date]],2)</f>
        <v>6</v>
      </c>
      <c r="I42" t="str">
        <f>IF(OR(agg_orders_daily_revenue[[#This Row],[Weekday_Num]]=6, agg_orders_daily_revenue[[#This Row],[Weekday_Num]]=7), "Weekend", "Weekday")</f>
        <v>Weekend</v>
      </c>
      <c r="J42" t="str">
        <f>TEXT(agg_orders_daily_revenue[[#This Row],[Order_Date]], "ddd")</f>
        <v>Sat</v>
      </c>
    </row>
    <row r="43" spans="1:10" x14ac:dyDescent="0.4">
      <c r="A43" s="1">
        <v>45333</v>
      </c>
      <c r="B43">
        <v>498177</v>
      </c>
      <c r="C43">
        <v>508596.71</v>
      </c>
      <c r="D43">
        <v>411</v>
      </c>
      <c r="E43">
        <f>YEAR(agg_orders_daily_revenue[[#This Row],[Order_Date]])</f>
        <v>2024</v>
      </c>
      <c r="F43">
        <f>MONTH(agg_orders_daily_revenue[[#This Row],[Order_Date]])</f>
        <v>2</v>
      </c>
      <c r="G43" t="str">
        <f>TEXT(agg_orders_daily_revenue[[#This Row],[Order_Date]],"yyyy-mm")</f>
        <v>2024-02</v>
      </c>
      <c r="H43">
        <f>WEEKDAY(agg_orders_daily_revenue[[#This Row],[Order_Date]],2)</f>
        <v>7</v>
      </c>
      <c r="I43" t="str">
        <f>IF(OR(agg_orders_daily_revenue[[#This Row],[Weekday_Num]]=6, agg_orders_daily_revenue[[#This Row],[Weekday_Num]]=7), "Weekend", "Weekday")</f>
        <v>Weekend</v>
      </c>
      <c r="J43" t="str">
        <f>TEXT(agg_orders_daily_revenue[[#This Row],[Order_Date]], "ddd")</f>
        <v>Sun</v>
      </c>
    </row>
    <row r="44" spans="1:10" x14ac:dyDescent="0.4">
      <c r="A44" s="1">
        <v>45334</v>
      </c>
      <c r="B44">
        <v>510902</v>
      </c>
      <c r="C44">
        <v>506773.14</v>
      </c>
      <c r="D44">
        <v>402</v>
      </c>
      <c r="E44">
        <f>YEAR(agg_orders_daily_revenue[[#This Row],[Order_Date]])</f>
        <v>2024</v>
      </c>
      <c r="F44">
        <f>MONTH(agg_orders_daily_revenue[[#This Row],[Order_Date]])</f>
        <v>2</v>
      </c>
      <c r="G44" t="str">
        <f>TEXT(agg_orders_daily_revenue[[#This Row],[Order_Date]],"yyyy-mm")</f>
        <v>2024-02</v>
      </c>
      <c r="H44">
        <f>WEEKDAY(agg_orders_daily_revenue[[#This Row],[Order_Date]],2)</f>
        <v>1</v>
      </c>
      <c r="I44" t="str">
        <f>IF(OR(agg_orders_daily_revenue[[#This Row],[Weekday_Num]]=6, agg_orders_daily_revenue[[#This Row],[Weekday_Num]]=7), "Weekend", "Weekday")</f>
        <v>Weekday</v>
      </c>
      <c r="J44" t="str">
        <f>TEXT(agg_orders_daily_revenue[[#This Row],[Order_Date]], "ddd")</f>
        <v>Mon</v>
      </c>
    </row>
    <row r="45" spans="1:10" x14ac:dyDescent="0.4">
      <c r="A45" s="1">
        <v>45335</v>
      </c>
      <c r="B45">
        <v>521509</v>
      </c>
      <c r="C45">
        <v>506970.29</v>
      </c>
      <c r="D45">
        <v>404</v>
      </c>
      <c r="E45">
        <f>YEAR(agg_orders_daily_revenue[[#This Row],[Order_Date]])</f>
        <v>2024</v>
      </c>
      <c r="F45">
        <f>MONTH(agg_orders_daily_revenue[[#This Row],[Order_Date]])</f>
        <v>2</v>
      </c>
      <c r="G45" t="str">
        <f>TEXT(agg_orders_daily_revenue[[#This Row],[Order_Date]],"yyyy-mm")</f>
        <v>2024-02</v>
      </c>
      <c r="H45">
        <f>WEEKDAY(agg_orders_daily_revenue[[#This Row],[Order_Date]],2)</f>
        <v>2</v>
      </c>
      <c r="I45" t="str">
        <f>IF(OR(agg_orders_daily_revenue[[#This Row],[Weekday_Num]]=6, agg_orders_daily_revenue[[#This Row],[Weekday_Num]]=7), "Weekend", "Weekday")</f>
        <v>Weekday</v>
      </c>
      <c r="J45" t="str">
        <f>TEXT(agg_orders_daily_revenue[[#This Row],[Order_Date]], "ddd")</f>
        <v>Tue</v>
      </c>
    </row>
    <row r="46" spans="1:10" x14ac:dyDescent="0.4">
      <c r="A46" s="1">
        <v>45336</v>
      </c>
      <c r="B46">
        <v>497664</v>
      </c>
      <c r="C46">
        <v>504713.14</v>
      </c>
      <c r="D46">
        <v>404</v>
      </c>
      <c r="E46">
        <f>YEAR(agg_orders_daily_revenue[[#This Row],[Order_Date]])</f>
        <v>2024</v>
      </c>
      <c r="F46">
        <f>MONTH(agg_orders_daily_revenue[[#This Row],[Order_Date]])</f>
        <v>2</v>
      </c>
      <c r="G46" t="str">
        <f>TEXT(agg_orders_daily_revenue[[#This Row],[Order_Date]],"yyyy-mm")</f>
        <v>2024-02</v>
      </c>
      <c r="H46">
        <f>WEEKDAY(agg_orders_daily_revenue[[#This Row],[Order_Date]],2)</f>
        <v>3</v>
      </c>
      <c r="I46" t="str">
        <f>IF(OR(agg_orders_daily_revenue[[#This Row],[Weekday_Num]]=6, agg_orders_daily_revenue[[#This Row],[Weekday_Num]]=7), "Weekend", "Weekday")</f>
        <v>Weekday</v>
      </c>
      <c r="J46" t="str">
        <f>TEXT(agg_orders_daily_revenue[[#This Row],[Order_Date]], "ddd")</f>
        <v>Wed</v>
      </c>
    </row>
    <row r="47" spans="1:10" x14ac:dyDescent="0.4">
      <c r="A47" s="1">
        <v>45337</v>
      </c>
      <c r="B47">
        <v>462085</v>
      </c>
      <c r="C47">
        <v>501889</v>
      </c>
      <c r="D47">
        <v>389</v>
      </c>
      <c r="E47">
        <f>YEAR(agg_orders_daily_revenue[[#This Row],[Order_Date]])</f>
        <v>2024</v>
      </c>
      <c r="F47">
        <f>MONTH(agg_orders_daily_revenue[[#This Row],[Order_Date]])</f>
        <v>2</v>
      </c>
      <c r="G47" t="str">
        <f>TEXT(agg_orders_daily_revenue[[#This Row],[Order_Date]],"yyyy-mm")</f>
        <v>2024-02</v>
      </c>
      <c r="H47">
        <f>WEEKDAY(agg_orders_daily_revenue[[#This Row],[Order_Date]],2)</f>
        <v>4</v>
      </c>
      <c r="I47" t="str">
        <f>IF(OR(agg_orders_daily_revenue[[#This Row],[Weekday_Num]]=6, agg_orders_daily_revenue[[#This Row],[Weekday_Num]]=7), "Weekend", "Weekday")</f>
        <v>Weekday</v>
      </c>
      <c r="J47" t="str">
        <f>TEXT(agg_orders_daily_revenue[[#This Row],[Order_Date]], "ddd")</f>
        <v>Thu</v>
      </c>
    </row>
    <row r="48" spans="1:10" x14ac:dyDescent="0.4">
      <c r="A48" s="1">
        <v>45338</v>
      </c>
      <c r="B48">
        <v>475826</v>
      </c>
      <c r="C48">
        <v>499475.57</v>
      </c>
      <c r="D48">
        <v>398</v>
      </c>
      <c r="E48">
        <f>YEAR(agg_orders_daily_revenue[[#This Row],[Order_Date]])</f>
        <v>2024</v>
      </c>
      <c r="F48">
        <f>MONTH(agg_orders_daily_revenue[[#This Row],[Order_Date]])</f>
        <v>2</v>
      </c>
      <c r="G48" t="str">
        <f>TEXT(agg_orders_daily_revenue[[#This Row],[Order_Date]],"yyyy-mm")</f>
        <v>2024-02</v>
      </c>
      <c r="H48">
        <f>WEEKDAY(agg_orders_daily_revenue[[#This Row],[Order_Date]],2)</f>
        <v>5</v>
      </c>
      <c r="I48" t="str">
        <f>IF(OR(agg_orders_daily_revenue[[#This Row],[Weekday_Num]]=6, agg_orders_daily_revenue[[#This Row],[Weekday_Num]]=7), "Weekend", "Weekday")</f>
        <v>Weekday</v>
      </c>
      <c r="J48" t="str">
        <f>TEXT(agg_orders_daily_revenue[[#This Row],[Order_Date]], "ddd")</f>
        <v>Fri</v>
      </c>
    </row>
    <row r="49" spans="1:10" x14ac:dyDescent="0.4">
      <c r="A49" s="1">
        <v>45339</v>
      </c>
      <c r="B49">
        <v>526083</v>
      </c>
      <c r="C49">
        <v>498892.29</v>
      </c>
      <c r="D49">
        <v>414</v>
      </c>
      <c r="E49">
        <f>YEAR(agg_orders_daily_revenue[[#This Row],[Order_Date]])</f>
        <v>2024</v>
      </c>
      <c r="F49">
        <f>MONTH(agg_orders_daily_revenue[[#This Row],[Order_Date]])</f>
        <v>2</v>
      </c>
      <c r="G49" t="str">
        <f>TEXT(agg_orders_daily_revenue[[#This Row],[Order_Date]],"yyyy-mm")</f>
        <v>2024-02</v>
      </c>
      <c r="H49">
        <f>WEEKDAY(agg_orders_daily_revenue[[#This Row],[Order_Date]],2)</f>
        <v>6</v>
      </c>
      <c r="I49" t="str">
        <f>IF(OR(agg_orders_daily_revenue[[#This Row],[Weekday_Num]]=6, agg_orders_daily_revenue[[#This Row],[Weekday_Num]]=7), "Weekend", "Weekday")</f>
        <v>Weekend</v>
      </c>
      <c r="J49" t="str">
        <f>TEXT(agg_orders_daily_revenue[[#This Row],[Order_Date]], "ddd")</f>
        <v>Sat</v>
      </c>
    </row>
    <row r="50" spans="1:10" x14ac:dyDescent="0.4">
      <c r="A50" s="1">
        <v>45340</v>
      </c>
      <c r="B50">
        <v>524782</v>
      </c>
      <c r="C50">
        <v>502693</v>
      </c>
      <c r="D50">
        <v>422</v>
      </c>
      <c r="E50">
        <f>YEAR(agg_orders_daily_revenue[[#This Row],[Order_Date]])</f>
        <v>2024</v>
      </c>
      <c r="F50">
        <f>MONTH(agg_orders_daily_revenue[[#This Row],[Order_Date]])</f>
        <v>2</v>
      </c>
      <c r="G50" t="str">
        <f>TEXT(agg_orders_daily_revenue[[#This Row],[Order_Date]],"yyyy-mm")</f>
        <v>2024-02</v>
      </c>
      <c r="H50">
        <f>WEEKDAY(agg_orders_daily_revenue[[#This Row],[Order_Date]],2)</f>
        <v>7</v>
      </c>
      <c r="I50" t="str">
        <f>IF(OR(agg_orders_daily_revenue[[#This Row],[Weekday_Num]]=6, agg_orders_daily_revenue[[#This Row],[Weekday_Num]]=7), "Weekend", "Weekday")</f>
        <v>Weekend</v>
      </c>
      <c r="J50" t="str">
        <f>TEXT(agg_orders_daily_revenue[[#This Row],[Order_Date]], "ddd")</f>
        <v>Sun</v>
      </c>
    </row>
    <row r="51" spans="1:10" x14ac:dyDescent="0.4">
      <c r="A51" s="1">
        <v>45341</v>
      </c>
      <c r="B51">
        <v>553204</v>
      </c>
      <c r="C51">
        <v>508736.14</v>
      </c>
      <c r="D51">
        <v>441</v>
      </c>
      <c r="E51">
        <f>YEAR(agg_orders_daily_revenue[[#This Row],[Order_Date]])</f>
        <v>2024</v>
      </c>
      <c r="F51">
        <f>MONTH(agg_orders_daily_revenue[[#This Row],[Order_Date]])</f>
        <v>2</v>
      </c>
      <c r="G51" t="str">
        <f>TEXT(agg_orders_daily_revenue[[#This Row],[Order_Date]],"yyyy-mm")</f>
        <v>2024-02</v>
      </c>
      <c r="H51">
        <f>WEEKDAY(agg_orders_daily_revenue[[#This Row],[Order_Date]],2)</f>
        <v>1</v>
      </c>
      <c r="I51" t="str">
        <f>IF(OR(agg_orders_daily_revenue[[#This Row],[Weekday_Num]]=6, agg_orders_daily_revenue[[#This Row],[Weekday_Num]]=7), "Weekend", "Weekday")</f>
        <v>Weekday</v>
      </c>
      <c r="J51" t="str">
        <f>TEXT(agg_orders_daily_revenue[[#This Row],[Order_Date]], "ddd")</f>
        <v>Mon</v>
      </c>
    </row>
    <row r="52" spans="1:10" x14ac:dyDescent="0.4">
      <c r="A52" s="1">
        <v>45342</v>
      </c>
      <c r="B52">
        <v>502850</v>
      </c>
      <c r="C52">
        <v>506070.57</v>
      </c>
      <c r="D52">
        <v>400</v>
      </c>
      <c r="E52">
        <f>YEAR(agg_orders_daily_revenue[[#This Row],[Order_Date]])</f>
        <v>2024</v>
      </c>
      <c r="F52">
        <f>MONTH(agg_orders_daily_revenue[[#This Row],[Order_Date]])</f>
        <v>2</v>
      </c>
      <c r="G52" t="str">
        <f>TEXT(agg_orders_daily_revenue[[#This Row],[Order_Date]],"yyyy-mm")</f>
        <v>2024-02</v>
      </c>
      <c r="H52">
        <f>WEEKDAY(agg_orders_daily_revenue[[#This Row],[Order_Date]],2)</f>
        <v>2</v>
      </c>
      <c r="I52" t="str">
        <f>IF(OR(agg_orders_daily_revenue[[#This Row],[Weekday_Num]]=6, agg_orders_daily_revenue[[#This Row],[Weekday_Num]]=7), "Weekend", "Weekday")</f>
        <v>Weekday</v>
      </c>
      <c r="J52" t="str">
        <f>TEXT(agg_orders_daily_revenue[[#This Row],[Order_Date]], "ddd")</f>
        <v>Tue</v>
      </c>
    </row>
    <row r="53" spans="1:10" x14ac:dyDescent="0.4">
      <c r="A53" s="1">
        <v>45343</v>
      </c>
      <c r="B53">
        <v>499729</v>
      </c>
      <c r="C53">
        <v>506365.57</v>
      </c>
      <c r="D53">
        <v>413</v>
      </c>
      <c r="E53">
        <f>YEAR(agg_orders_daily_revenue[[#This Row],[Order_Date]])</f>
        <v>2024</v>
      </c>
      <c r="F53">
        <f>MONTH(agg_orders_daily_revenue[[#This Row],[Order_Date]])</f>
        <v>2</v>
      </c>
      <c r="G53" t="str">
        <f>TEXT(agg_orders_daily_revenue[[#This Row],[Order_Date]],"yyyy-mm")</f>
        <v>2024-02</v>
      </c>
      <c r="H53">
        <f>WEEKDAY(agg_orders_daily_revenue[[#This Row],[Order_Date]],2)</f>
        <v>3</v>
      </c>
      <c r="I53" t="str">
        <f>IF(OR(agg_orders_daily_revenue[[#This Row],[Weekday_Num]]=6, agg_orders_daily_revenue[[#This Row],[Weekday_Num]]=7), "Weekend", "Weekday")</f>
        <v>Weekday</v>
      </c>
      <c r="J53" t="str">
        <f>TEXT(agg_orders_daily_revenue[[#This Row],[Order_Date]], "ddd")</f>
        <v>Wed</v>
      </c>
    </row>
    <row r="54" spans="1:10" x14ac:dyDescent="0.4">
      <c r="A54" s="1">
        <v>45344</v>
      </c>
      <c r="B54">
        <v>534870</v>
      </c>
      <c r="C54">
        <v>516763.43</v>
      </c>
      <c r="D54">
        <v>419</v>
      </c>
      <c r="E54">
        <f>YEAR(agg_orders_daily_revenue[[#This Row],[Order_Date]])</f>
        <v>2024</v>
      </c>
      <c r="F54">
        <f>MONTH(agg_orders_daily_revenue[[#This Row],[Order_Date]])</f>
        <v>2</v>
      </c>
      <c r="G54" t="str">
        <f>TEXT(agg_orders_daily_revenue[[#This Row],[Order_Date]],"yyyy-mm")</f>
        <v>2024-02</v>
      </c>
      <c r="H54">
        <f>WEEKDAY(agg_orders_daily_revenue[[#This Row],[Order_Date]],2)</f>
        <v>4</v>
      </c>
      <c r="I54" t="str">
        <f>IF(OR(agg_orders_daily_revenue[[#This Row],[Weekday_Num]]=6, agg_orders_daily_revenue[[#This Row],[Weekday_Num]]=7), "Weekend", "Weekday")</f>
        <v>Weekday</v>
      </c>
      <c r="J54" t="str">
        <f>TEXT(agg_orders_daily_revenue[[#This Row],[Order_Date]], "ddd")</f>
        <v>Thu</v>
      </c>
    </row>
    <row r="55" spans="1:10" x14ac:dyDescent="0.4">
      <c r="A55" s="1">
        <v>45345</v>
      </c>
      <c r="B55">
        <v>475392</v>
      </c>
      <c r="C55">
        <v>516701.43</v>
      </c>
      <c r="D55">
        <v>384</v>
      </c>
      <c r="E55">
        <f>YEAR(agg_orders_daily_revenue[[#This Row],[Order_Date]])</f>
        <v>2024</v>
      </c>
      <c r="F55">
        <f>MONTH(agg_orders_daily_revenue[[#This Row],[Order_Date]])</f>
        <v>2</v>
      </c>
      <c r="G55" t="str">
        <f>TEXT(agg_orders_daily_revenue[[#This Row],[Order_Date]],"yyyy-mm")</f>
        <v>2024-02</v>
      </c>
      <c r="H55">
        <f>WEEKDAY(agg_orders_daily_revenue[[#This Row],[Order_Date]],2)</f>
        <v>5</v>
      </c>
      <c r="I55" t="str">
        <f>IF(OR(agg_orders_daily_revenue[[#This Row],[Weekday_Num]]=6, agg_orders_daily_revenue[[#This Row],[Weekday_Num]]=7), "Weekend", "Weekday")</f>
        <v>Weekday</v>
      </c>
      <c r="J55" t="str">
        <f>TEXT(agg_orders_daily_revenue[[#This Row],[Order_Date]], "ddd")</f>
        <v>Fri</v>
      </c>
    </row>
    <row r="56" spans="1:10" x14ac:dyDescent="0.4">
      <c r="A56" s="1">
        <v>45346</v>
      </c>
      <c r="B56">
        <v>463365</v>
      </c>
      <c r="C56">
        <v>507741.71</v>
      </c>
      <c r="D56">
        <v>383</v>
      </c>
      <c r="E56">
        <f>YEAR(agg_orders_daily_revenue[[#This Row],[Order_Date]])</f>
        <v>2024</v>
      </c>
      <c r="F56">
        <f>MONTH(agg_orders_daily_revenue[[#This Row],[Order_Date]])</f>
        <v>2</v>
      </c>
      <c r="G56" t="str">
        <f>TEXT(agg_orders_daily_revenue[[#This Row],[Order_Date]],"yyyy-mm")</f>
        <v>2024-02</v>
      </c>
      <c r="H56">
        <f>WEEKDAY(agg_orders_daily_revenue[[#This Row],[Order_Date]],2)</f>
        <v>6</v>
      </c>
      <c r="I56" t="str">
        <f>IF(OR(agg_orders_daily_revenue[[#This Row],[Weekday_Num]]=6, agg_orders_daily_revenue[[#This Row],[Weekday_Num]]=7), "Weekend", "Weekday")</f>
        <v>Weekend</v>
      </c>
      <c r="J56" t="str">
        <f>TEXT(agg_orders_daily_revenue[[#This Row],[Order_Date]], "ddd")</f>
        <v>Sat</v>
      </c>
    </row>
    <row r="57" spans="1:10" x14ac:dyDescent="0.4">
      <c r="A57" s="1">
        <v>45347</v>
      </c>
      <c r="B57">
        <v>511659</v>
      </c>
      <c r="C57">
        <v>505867</v>
      </c>
      <c r="D57">
        <v>421</v>
      </c>
      <c r="E57">
        <f>YEAR(agg_orders_daily_revenue[[#This Row],[Order_Date]])</f>
        <v>2024</v>
      </c>
      <c r="F57">
        <f>MONTH(agg_orders_daily_revenue[[#This Row],[Order_Date]])</f>
        <v>2</v>
      </c>
      <c r="G57" t="str">
        <f>TEXT(agg_orders_daily_revenue[[#This Row],[Order_Date]],"yyyy-mm")</f>
        <v>2024-02</v>
      </c>
      <c r="H57">
        <f>WEEKDAY(agg_orders_daily_revenue[[#This Row],[Order_Date]],2)</f>
        <v>7</v>
      </c>
      <c r="I57" t="str">
        <f>IF(OR(agg_orders_daily_revenue[[#This Row],[Weekday_Num]]=6, agg_orders_daily_revenue[[#This Row],[Weekday_Num]]=7), "Weekend", "Weekday")</f>
        <v>Weekend</v>
      </c>
      <c r="J57" t="str">
        <f>TEXT(agg_orders_daily_revenue[[#This Row],[Order_Date]], "ddd")</f>
        <v>Sun</v>
      </c>
    </row>
    <row r="58" spans="1:10" x14ac:dyDescent="0.4">
      <c r="A58" s="1">
        <v>45348</v>
      </c>
      <c r="B58">
        <v>479534</v>
      </c>
      <c r="C58">
        <v>495342.71</v>
      </c>
      <c r="D58">
        <v>401</v>
      </c>
      <c r="E58">
        <f>YEAR(agg_orders_daily_revenue[[#This Row],[Order_Date]])</f>
        <v>2024</v>
      </c>
      <c r="F58">
        <f>MONTH(agg_orders_daily_revenue[[#This Row],[Order_Date]])</f>
        <v>2</v>
      </c>
      <c r="G58" t="str">
        <f>TEXT(agg_orders_daily_revenue[[#This Row],[Order_Date]],"yyyy-mm")</f>
        <v>2024-02</v>
      </c>
      <c r="H58">
        <f>WEEKDAY(agg_orders_daily_revenue[[#This Row],[Order_Date]],2)</f>
        <v>1</v>
      </c>
      <c r="I58" t="str">
        <f>IF(OR(agg_orders_daily_revenue[[#This Row],[Weekday_Num]]=6, agg_orders_daily_revenue[[#This Row],[Weekday_Num]]=7), "Weekend", "Weekday")</f>
        <v>Weekday</v>
      </c>
      <c r="J58" t="str">
        <f>TEXT(agg_orders_daily_revenue[[#This Row],[Order_Date]], "ddd")</f>
        <v>Mon</v>
      </c>
    </row>
    <row r="59" spans="1:10" x14ac:dyDescent="0.4">
      <c r="A59" s="1">
        <v>45349</v>
      </c>
      <c r="B59">
        <v>519220</v>
      </c>
      <c r="C59">
        <v>497681.29</v>
      </c>
      <c r="D59">
        <v>404</v>
      </c>
      <c r="E59">
        <f>YEAR(agg_orders_daily_revenue[[#This Row],[Order_Date]])</f>
        <v>2024</v>
      </c>
      <c r="F59">
        <f>MONTH(agg_orders_daily_revenue[[#This Row],[Order_Date]])</f>
        <v>2</v>
      </c>
      <c r="G59" t="str">
        <f>TEXT(agg_orders_daily_revenue[[#This Row],[Order_Date]],"yyyy-mm")</f>
        <v>2024-02</v>
      </c>
      <c r="H59">
        <f>WEEKDAY(agg_orders_daily_revenue[[#This Row],[Order_Date]],2)</f>
        <v>2</v>
      </c>
      <c r="I59" t="str">
        <f>IF(OR(agg_orders_daily_revenue[[#This Row],[Weekday_Num]]=6, agg_orders_daily_revenue[[#This Row],[Weekday_Num]]=7), "Weekend", "Weekday")</f>
        <v>Weekday</v>
      </c>
      <c r="J59" t="str">
        <f>TEXT(agg_orders_daily_revenue[[#This Row],[Order_Date]], "ddd")</f>
        <v>Tue</v>
      </c>
    </row>
    <row r="60" spans="1:10" x14ac:dyDescent="0.4">
      <c r="A60" s="1">
        <v>45350</v>
      </c>
      <c r="B60">
        <v>546753</v>
      </c>
      <c r="C60">
        <v>504399</v>
      </c>
      <c r="D60">
        <v>440</v>
      </c>
      <c r="E60">
        <f>YEAR(agg_orders_daily_revenue[[#This Row],[Order_Date]])</f>
        <v>2024</v>
      </c>
      <c r="F60">
        <f>MONTH(agg_orders_daily_revenue[[#This Row],[Order_Date]])</f>
        <v>2</v>
      </c>
      <c r="G60" t="str">
        <f>TEXT(agg_orders_daily_revenue[[#This Row],[Order_Date]],"yyyy-mm")</f>
        <v>2024-02</v>
      </c>
      <c r="H60">
        <f>WEEKDAY(agg_orders_daily_revenue[[#This Row],[Order_Date]],2)</f>
        <v>3</v>
      </c>
      <c r="I60" t="str">
        <f>IF(OR(agg_orders_daily_revenue[[#This Row],[Weekday_Num]]=6, agg_orders_daily_revenue[[#This Row],[Weekday_Num]]=7), "Weekend", "Weekday")</f>
        <v>Weekday</v>
      </c>
      <c r="J60" t="str">
        <f>TEXT(agg_orders_daily_revenue[[#This Row],[Order_Date]], "ddd")</f>
        <v>Wed</v>
      </c>
    </row>
    <row r="61" spans="1:10" x14ac:dyDescent="0.4">
      <c r="A61" s="1">
        <v>45351</v>
      </c>
      <c r="B61">
        <v>541282</v>
      </c>
      <c r="C61">
        <v>505315</v>
      </c>
      <c r="D61">
        <v>431</v>
      </c>
      <c r="E61">
        <f>YEAR(agg_orders_daily_revenue[[#This Row],[Order_Date]])</f>
        <v>2024</v>
      </c>
      <c r="F61">
        <f>MONTH(agg_orders_daily_revenue[[#This Row],[Order_Date]])</f>
        <v>2</v>
      </c>
      <c r="G61" t="str">
        <f>TEXT(agg_orders_daily_revenue[[#This Row],[Order_Date]],"yyyy-mm")</f>
        <v>2024-02</v>
      </c>
      <c r="H61">
        <f>WEEKDAY(agg_orders_daily_revenue[[#This Row],[Order_Date]],2)</f>
        <v>4</v>
      </c>
      <c r="I61" t="str">
        <f>IF(OR(agg_orders_daily_revenue[[#This Row],[Weekday_Num]]=6, agg_orders_daily_revenue[[#This Row],[Weekday_Num]]=7), "Weekend", "Weekday")</f>
        <v>Weekday</v>
      </c>
      <c r="J61" t="str">
        <f>TEXT(agg_orders_daily_revenue[[#This Row],[Order_Date]], "ddd")</f>
        <v>Thu</v>
      </c>
    </row>
    <row r="62" spans="1:10" x14ac:dyDescent="0.4">
      <c r="A62" s="1">
        <v>45352</v>
      </c>
      <c r="B62">
        <v>490931</v>
      </c>
      <c r="C62">
        <v>507534.86</v>
      </c>
      <c r="D62">
        <v>396</v>
      </c>
      <c r="E62">
        <f>YEAR(agg_orders_daily_revenue[[#This Row],[Order_Date]])</f>
        <v>2024</v>
      </c>
      <c r="F62">
        <f>MONTH(agg_orders_daily_revenue[[#This Row],[Order_Date]])</f>
        <v>3</v>
      </c>
      <c r="G62" t="str">
        <f>TEXT(agg_orders_daily_revenue[[#This Row],[Order_Date]],"yyyy-mm")</f>
        <v>2024-03</v>
      </c>
      <c r="H62">
        <f>WEEKDAY(agg_orders_daily_revenue[[#This Row],[Order_Date]],2)</f>
        <v>5</v>
      </c>
      <c r="I62" t="str">
        <f>IF(OR(agg_orders_daily_revenue[[#This Row],[Weekday_Num]]=6, agg_orders_daily_revenue[[#This Row],[Weekday_Num]]=7), "Weekend", "Weekday")</f>
        <v>Weekday</v>
      </c>
      <c r="J62" t="str">
        <f>TEXT(agg_orders_daily_revenue[[#This Row],[Order_Date]], "ddd")</f>
        <v>Fri</v>
      </c>
    </row>
    <row r="63" spans="1:10" x14ac:dyDescent="0.4">
      <c r="A63" s="1">
        <v>45353</v>
      </c>
      <c r="B63">
        <v>501415</v>
      </c>
      <c r="C63">
        <v>512970.57</v>
      </c>
      <c r="D63">
        <v>413</v>
      </c>
      <c r="E63">
        <f>YEAR(agg_orders_daily_revenue[[#This Row],[Order_Date]])</f>
        <v>2024</v>
      </c>
      <c r="F63">
        <f>MONTH(agg_orders_daily_revenue[[#This Row],[Order_Date]])</f>
        <v>3</v>
      </c>
      <c r="G63" t="str">
        <f>TEXT(agg_orders_daily_revenue[[#This Row],[Order_Date]],"yyyy-mm")</f>
        <v>2024-03</v>
      </c>
      <c r="H63">
        <f>WEEKDAY(agg_orders_daily_revenue[[#This Row],[Order_Date]],2)</f>
        <v>6</v>
      </c>
      <c r="I63" t="str">
        <f>IF(OR(agg_orders_daily_revenue[[#This Row],[Weekday_Num]]=6, agg_orders_daily_revenue[[#This Row],[Weekday_Num]]=7), "Weekend", "Weekday")</f>
        <v>Weekend</v>
      </c>
      <c r="J63" t="str">
        <f>TEXT(agg_orders_daily_revenue[[#This Row],[Order_Date]], "ddd")</f>
        <v>Sat</v>
      </c>
    </row>
    <row r="64" spans="1:10" x14ac:dyDescent="0.4">
      <c r="A64" s="1">
        <v>45354</v>
      </c>
      <c r="B64">
        <v>453685</v>
      </c>
      <c r="C64">
        <v>504688.57</v>
      </c>
      <c r="D64">
        <v>369</v>
      </c>
      <c r="E64">
        <f>YEAR(agg_orders_daily_revenue[[#This Row],[Order_Date]])</f>
        <v>2024</v>
      </c>
      <c r="F64">
        <f>MONTH(agg_orders_daily_revenue[[#This Row],[Order_Date]])</f>
        <v>3</v>
      </c>
      <c r="G64" t="str">
        <f>TEXT(agg_orders_daily_revenue[[#This Row],[Order_Date]],"yyyy-mm")</f>
        <v>2024-03</v>
      </c>
      <c r="H64">
        <f>WEEKDAY(agg_orders_daily_revenue[[#This Row],[Order_Date]],2)</f>
        <v>7</v>
      </c>
      <c r="I64" t="str">
        <f>IF(OR(agg_orders_daily_revenue[[#This Row],[Weekday_Num]]=6, agg_orders_daily_revenue[[#This Row],[Weekday_Num]]=7), "Weekend", "Weekday")</f>
        <v>Weekend</v>
      </c>
      <c r="J64" t="str">
        <f>TEXT(agg_orders_daily_revenue[[#This Row],[Order_Date]], "ddd")</f>
        <v>Sun</v>
      </c>
    </row>
    <row r="65" spans="1:10" x14ac:dyDescent="0.4">
      <c r="A65" s="1">
        <v>45355</v>
      </c>
      <c r="B65">
        <v>499094</v>
      </c>
      <c r="C65">
        <v>507482.86</v>
      </c>
      <c r="D65">
        <v>403</v>
      </c>
      <c r="E65">
        <f>YEAR(agg_orders_daily_revenue[[#This Row],[Order_Date]])</f>
        <v>2024</v>
      </c>
      <c r="F65">
        <f>MONTH(agg_orders_daily_revenue[[#This Row],[Order_Date]])</f>
        <v>3</v>
      </c>
      <c r="G65" t="str">
        <f>TEXT(agg_orders_daily_revenue[[#This Row],[Order_Date]],"yyyy-mm")</f>
        <v>2024-03</v>
      </c>
      <c r="H65">
        <f>WEEKDAY(agg_orders_daily_revenue[[#This Row],[Order_Date]],2)</f>
        <v>1</v>
      </c>
      <c r="I65" t="str">
        <f>IF(OR(agg_orders_daily_revenue[[#This Row],[Weekday_Num]]=6, agg_orders_daily_revenue[[#This Row],[Weekday_Num]]=7), "Weekend", "Weekday")</f>
        <v>Weekday</v>
      </c>
      <c r="J65" t="str">
        <f>TEXT(agg_orders_daily_revenue[[#This Row],[Order_Date]], "ddd")</f>
        <v>Mon</v>
      </c>
    </row>
    <row r="66" spans="1:10" x14ac:dyDescent="0.4">
      <c r="A66" s="1">
        <v>45356</v>
      </c>
      <c r="B66">
        <v>498391</v>
      </c>
      <c r="C66">
        <v>504507.29</v>
      </c>
      <c r="D66">
        <v>405</v>
      </c>
      <c r="E66">
        <f>YEAR(agg_orders_daily_revenue[[#This Row],[Order_Date]])</f>
        <v>2024</v>
      </c>
      <c r="F66">
        <f>MONTH(agg_orders_daily_revenue[[#This Row],[Order_Date]])</f>
        <v>3</v>
      </c>
      <c r="G66" t="str">
        <f>TEXT(agg_orders_daily_revenue[[#This Row],[Order_Date]],"yyyy-mm")</f>
        <v>2024-03</v>
      </c>
      <c r="H66">
        <f>WEEKDAY(agg_orders_daily_revenue[[#This Row],[Order_Date]],2)</f>
        <v>2</v>
      </c>
      <c r="I66" t="str">
        <f>IF(OR(agg_orders_daily_revenue[[#This Row],[Weekday_Num]]=6, agg_orders_daily_revenue[[#This Row],[Weekday_Num]]=7), "Weekend", "Weekday")</f>
        <v>Weekday</v>
      </c>
      <c r="J66" t="str">
        <f>TEXT(agg_orders_daily_revenue[[#This Row],[Order_Date]], "ddd")</f>
        <v>Tue</v>
      </c>
    </row>
    <row r="67" spans="1:10" x14ac:dyDescent="0.4">
      <c r="A67" s="1">
        <v>45357</v>
      </c>
      <c r="B67">
        <v>466830</v>
      </c>
      <c r="C67">
        <v>493089.71</v>
      </c>
      <c r="D67">
        <v>375</v>
      </c>
      <c r="E67">
        <f>YEAR(agg_orders_daily_revenue[[#This Row],[Order_Date]])</f>
        <v>2024</v>
      </c>
      <c r="F67">
        <f>MONTH(agg_orders_daily_revenue[[#This Row],[Order_Date]])</f>
        <v>3</v>
      </c>
      <c r="G67" t="str">
        <f>TEXT(agg_orders_daily_revenue[[#This Row],[Order_Date]],"yyyy-mm")</f>
        <v>2024-03</v>
      </c>
      <c r="H67">
        <f>WEEKDAY(agg_orders_daily_revenue[[#This Row],[Order_Date]],2)</f>
        <v>3</v>
      </c>
      <c r="I67" t="str">
        <f>IF(OR(agg_orders_daily_revenue[[#This Row],[Weekday_Num]]=6, agg_orders_daily_revenue[[#This Row],[Weekday_Num]]=7), "Weekend", "Weekday")</f>
        <v>Weekday</v>
      </c>
      <c r="J67" t="str">
        <f>TEXT(agg_orders_daily_revenue[[#This Row],[Order_Date]], "ddd")</f>
        <v>Wed</v>
      </c>
    </row>
    <row r="68" spans="1:10" x14ac:dyDescent="0.4">
      <c r="A68" s="1">
        <v>45358</v>
      </c>
      <c r="B68">
        <v>504425</v>
      </c>
      <c r="C68">
        <v>487824.43</v>
      </c>
      <c r="D68">
        <v>418</v>
      </c>
      <c r="E68">
        <f>YEAR(agg_orders_daily_revenue[[#This Row],[Order_Date]])</f>
        <v>2024</v>
      </c>
      <c r="F68">
        <f>MONTH(agg_orders_daily_revenue[[#This Row],[Order_Date]])</f>
        <v>3</v>
      </c>
      <c r="G68" t="str">
        <f>TEXT(agg_orders_daily_revenue[[#This Row],[Order_Date]],"yyyy-mm")</f>
        <v>2024-03</v>
      </c>
      <c r="H68">
        <f>WEEKDAY(agg_orders_daily_revenue[[#This Row],[Order_Date]],2)</f>
        <v>4</v>
      </c>
      <c r="I68" t="str">
        <f>IF(OR(agg_orders_daily_revenue[[#This Row],[Weekday_Num]]=6, agg_orders_daily_revenue[[#This Row],[Weekday_Num]]=7), "Weekend", "Weekday")</f>
        <v>Weekday</v>
      </c>
      <c r="J68" t="str">
        <f>TEXT(agg_orders_daily_revenue[[#This Row],[Order_Date]], "ddd")</f>
        <v>Thu</v>
      </c>
    </row>
    <row r="69" spans="1:10" x14ac:dyDescent="0.4">
      <c r="A69" s="1">
        <v>45359</v>
      </c>
      <c r="B69">
        <v>525959</v>
      </c>
      <c r="C69">
        <v>492828.43</v>
      </c>
      <c r="D69">
        <v>435</v>
      </c>
      <c r="E69">
        <f>YEAR(agg_orders_daily_revenue[[#This Row],[Order_Date]])</f>
        <v>2024</v>
      </c>
      <c r="F69">
        <f>MONTH(agg_orders_daily_revenue[[#This Row],[Order_Date]])</f>
        <v>3</v>
      </c>
      <c r="G69" t="str">
        <f>TEXT(agg_orders_daily_revenue[[#This Row],[Order_Date]],"yyyy-mm")</f>
        <v>2024-03</v>
      </c>
      <c r="H69">
        <f>WEEKDAY(agg_orders_daily_revenue[[#This Row],[Order_Date]],2)</f>
        <v>5</v>
      </c>
      <c r="I69" t="str">
        <f>IF(OR(agg_orders_daily_revenue[[#This Row],[Weekday_Num]]=6, agg_orders_daily_revenue[[#This Row],[Weekday_Num]]=7), "Weekend", "Weekday")</f>
        <v>Weekday</v>
      </c>
      <c r="J69" t="str">
        <f>TEXT(agg_orders_daily_revenue[[#This Row],[Order_Date]], "ddd")</f>
        <v>Fri</v>
      </c>
    </row>
    <row r="70" spans="1:10" x14ac:dyDescent="0.4">
      <c r="A70" s="1">
        <v>45360</v>
      </c>
      <c r="B70">
        <v>491640</v>
      </c>
      <c r="C70">
        <v>491432</v>
      </c>
      <c r="D70">
        <v>393</v>
      </c>
      <c r="E70">
        <f>YEAR(agg_orders_daily_revenue[[#This Row],[Order_Date]])</f>
        <v>2024</v>
      </c>
      <c r="F70">
        <f>MONTH(agg_orders_daily_revenue[[#This Row],[Order_Date]])</f>
        <v>3</v>
      </c>
      <c r="G70" t="str">
        <f>TEXT(agg_orders_daily_revenue[[#This Row],[Order_Date]],"yyyy-mm")</f>
        <v>2024-03</v>
      </c>
      <c r="H70">
        <f>WEEKDAY(agg_orders_daily_revenue[[#This Row],[Order_Date]],2)</f>
        <v>6</v>
      </c>
      <c r="I70" t="str">
        <f>IF(OR(agg_orders_daily_revenue[[#This Row],[Weekday_Num]]=6, agg_orders_daily_revenue[[#This Row],[Weekday_Num]]=7), "Weekend", "Weekday")</f>
        <v>Weekend</v>
      </c>
      <c r="J70" t="str">
        <f>TEXT(agg_orders_daily_revenue[[#This Row],[Order_Date]], "ddd")</f>
        <v>Sat</v>
      </c>
    </row>
    <row r="71" spans="1:10" x14ac:dyDescent="0.4">
      <c r="A71" s="1">
        <v>45361</v>
      </c>
      <c r="B71">
        <v>548413</v>
      </c>
      <c r="C71">
        <v>504964.57</v>
      </c>
      <c r="D71">
        <v>442</v>
      </c>
      <c r="E71">
        <f>YEAR(agg_orders_daily_revenue[[#This Row],[Order_Date]])</f>
        <v>2024</v>
      </c>
      <c r="F71">
        <f>MONTH(agg_orders_daily_revenue[[#This Row],[Order_Date]])</f>
        <v>3</v>
      </c>
      <c r="G71" t="str">
        <f>TEXT(agg_orders_daily_revenue[[#This Row],[Order_Date]],"yyyy-mm")</f>
        <v>2024-03</v>
      </c>
      <c r="H71">
        <f>WEEKDAY(agg_orders_daily_revenue[[#This Row],[Order_Date]],2)</f>
        <v>7</v>
      </c>
      <c r="I71" t="str">
        <f>IF(OR(agg_orders_daily_revenue[[#This Row],[Weekday_Num]]=6, agg_orders_daily_revenue[[#This Row],[Weekday_Num]]=7), "Weekend", "Weekday")</f>
        <v>Weekend</v>
      </c>
      <c r="J71" t="str">
        <f>TEXT(agg_orders_daily_revenue[[#This Row],[Order_Date]], "ddd")</f>
        <v>Sun</v>
      </c>
    </row>
    <row r="72" spans="1:10" x14ac:dyDescent="0.4">
      <c r="A72" s="1">
        <v>45362</v>
      </c>
      <c r="B72">
        <v>470432</v>
      </c>
      <c r="C72">
        <v>500870</v>
      </c>
      <c r="D72">
        <v>380</v>
      </c>
      <c r="E72">
        <f>YEAR(agg_orders_daily_revenue[[#This Row],[Order_Date]])</f>
        <v>2024</v>
      </c>
      <c r="F72">
        <f>MONTH(agg_orders_daily_revenue[[#This Row],[Order_Date]])</f>
        <v>3</v>
      </c>
      <c r="G72" t="str">
        <f>TEXT(agg_orders_daily_revenue[[#This Row],[Order_Date]],"yyyy-mm")</f>
        <v>2024-03</v>
      </c>
      <c r="H72">
        <f>WEEKDAY(agg_orders_daily_revenue[[#This Row],[Order_Date]],2)</f>
        <v>1</v>
      </c>
      <c r="I72" t="str">
        <f>IF(OR(agg_orders_daily_revenue[[#This Row],[Weekday_Num]]=6, agg_orders_daily_revenue[[#This Row],[Weekday_Num]]=7), "Weekend", "Weekday")</f>
        <v>Weekday</v>
      </c>
      <c r="J72" t="str">
        <f>TEXT(agg_orders_daily_revenue[[#This Row],[Order_Date]], "ddd")</f>
        <v>Mon</v>
      </c>
    </row>
    <row r="73" spans="1:10" x14ac:dyDescent="0.4">
      <c r="A73" s="1">
        <v>45363</v>
      </c>
      <c r="B73">
        <v>564796</v>
      </c>
      <c r="C73">
        <v>510356.43</v>
      </c>
      <c r="D73">
        <v>447</v>
      </c>
      <c r="E73">
        <f>YEAR(agg_orders_daily_revenue[[#This Row],[Order_Date]])</f>
        <v>2024</v>
      </c>
      <c r="F73">
        <f>MONTH(agg_orders_daily_revenue[[#This Row],[Order_Date]])</f>
        <v>3</v>
      </c>
      <c r="G73" t="str">
        <f>TEXT(agg_orders_daily_revenue[[#This Row],[Order_Date]],"yyyy-mm")</f>
        <v>2024-03</v>
      </c>
      <c r="H73">
        <f>WEEKDAY(agg_orders_daily_revenue[[#This Row],[Order_Date]],2)</f>
        <v>2</v>
      </c>
      <c r="I73" t="str">
        <f>IF(OR(agg_orders_daily_revenue[[#This Row],[Weekday_Num]]=6, agg_orders_daily_revenue[[#This Row],[Weekday_Num]]=7), "Weekend", "Weekday")</f>
        <v>Weekday</v>
      </c>
      <c r="J73" t="str">
        <f>TEXT(agg_orders_daily_revenue[[#This Row],[Order_Date]], "ddd")</f>
        <v>Tue</v>
      </c>
    </row>
    <row r="74" spans="1:10" x14ac:dyDescent="0.4">
      <c r="A74" s="1">
        <v>45364</v>
      </c>
      <c r="B74">
        <v>509588</v>
      </c>
      <c r="C74">
        <v>516464.71</v>
      </c>
      <c r="D74">
        <v>399</v>
      </c>
      <c r="E74">
        <f>YEAR(agg_orders_daily_revenue[[#This Row],[Order_Date]])</f>
        <v>2024</v>
      </c>
      <c r="F74">
        <f>MONTH(agg_orders_daily_revenue[[#This Row],[Order_Date]])</f>
        <v>3</v>
      </c>
      <c r="G74" t="str">
        <f>TEXT(agg_orders_daily_revenue[[#This Row],[Order_Date]],"yyyy-mm")</f>
        <v>2024-03</v>
      </c>
      <c r="H74">
        <f>WEEKDAY(agg_orders_daily_revenue[[#This Row],[Order_Date]],2)</f>
        <v>3</v>
      </c>
      <c r="I74" t="str">
        <f>IF(OR(agg_orders_daily_revenue[[#This Row],[Weekday_Num]]=6, agg_orders_daily_revenue[[#This Row],[Weekday_Num]]=7), "Weekend", "Weekday")</f>
        <v>Weekday</v>
      </c>
      <c r="J74" t="str">
        <f>TEXT(agg_orders_daily_revenue[[#This Row],[Order_Date]], "ddd")</f>
        <v>Wed</v>
      </c>
    </row>
    <row r="75" spans="1:10" x14ac:dyDescent="0.4">
      <c r="A75" s="1">
        <v>45365</v>
      </c>
      <c r="B75">
        <v>542049</v>
      </c>
      <c r="C75">
        <v>521839.57</v>
      </c>
      <c r="D75">
        <v>423</v>
      </c>
      <c r="E75">
        <f>YEAR(agg_orders_daily_revenue[[#This Row],[Order_Date]])</f>
        <v>2024</v>
      </c>
      <c r="F75">
        <f>MONTH(agg_orders_daily_revenue[[#This Row],[Order_Date]])</f>
        <v>3</v>
      </c>
      <c r="G75" t="str">
        <f>TEXT(agg_orders_daily_revenue[[#This Row],[Order_Date]],"yyyy-mm")</f>
        <v>2024-03</v>
      </c>
      <c r="H75">
        <f>WEEKDAY(agg_orders_daily_revenue[[#This Row],[Order_Date]],2)</f>
        <v>4</v>
      </c>
      <c r="I75" t="str">
        <f>IF(OR(agg_orders_daily_revenue[[#This Row],[Weekday_Num]]=6, agg_orders_daily_revenue[[#This Row],[Weekday_Num]]=7), "Weekend", "Weekday")</f>
        <v>Weekday</v>
      </c>
      <c r="J75" t="str">
        <f>TEXT(agg_orders_daily_revenue[[#This Row],[Order_Date]], "ddd")</f>
        <v>Thu</v>
      </c>
    </row>
    <row r="76" spans="1:10" x14ac:dyDescent="0.4">
      <c r="A76" s="1">
        <v>45366</v>
      </c>
      <c r="B76">
        <v>470250</v>
      </c>
      <c r="C76">
        <v>513881.14</v>
      </c>
      <c r="D76">
        <v>403</v>
      </c>
      <c r="E76">
        <f>YEAR(agg_orders_daily_revenue[[#This Row],[Order_Date]])</f>
        <v>2024</v>
      </c>
      <c r="F76">
        <f>MONTH(agg_orders_daily_revenue[[#This Row],[Order_Date]])</f>
        <v>3</v>
      </c>
      <c r="G76" t="str">
        <f>TEXT(agg_orders_daily_revenue[[#This Row],[Order_Date]],"yyyy-mm")</f>
        <v>2024-03</v>
      </c>
      <c r="H76">
        <f>WEEKDAY(agg_orders_daily_revenue[[#This Row],[Order_Date]],2)</f>
        <v>5</v>
      </c>
      <c r="I76" t="str">
        <f>IF(OR(agg_orders_daily_revenue[[#This Row],[Weekday_Num]]=6, agg_orders_daily_revenue[[#This Row],[Weekday_Num]]=7), "Weekend", "Weekday")</f>
        <v>Weekday</v>
      </c>
      <c r="J76" t="str">
        <f>TEXT(agg_orders_daily_revenue[[#This Row],[Order_Date]], "ddd")</f>
        <v>Fri</v>
      </c>
    </row>
    <row r="77" spans="1:10" x14ac:dyDescent="0.4">
      <c r="A77" s="1">
        <v>45367</v>
      </c>
      <c r="B77">
        <v>540809</v>
      </c>
      <c r="C77">
        <v>520905.29</v>
      </c>
      <c r="D77">
        <v>425</v>
      </c>
      <c r="E77">
        <f>YEAR(agg_orders_daily_revenue[[#This Row],[Order_Date]])</f>
        <v>2024</v>
      </c>
      <c r="F77">
        <f>MONTH(agg_orders_daily_revenue[[#This Row],[Order_Date]])</f>
        <v>3</v>
      </c>
      <c r="G77" t="str">
        <f>TEXT(agg_orders_daily_revenue[[#This Row],[Order_Date]],"yyyy-mm")</f>
        <v>2024-03</v>
      </c>
      <c r="H77">
        <f>WEEKDAY(agg_orders_daily_revenue[[#This Row],[Order_Date]],2)</f>
        <v>6</v>
      </c>
      <c r="I77" t="str">
        <f>IF(OR(agg_orders_daily_revenue[[#This Row],[Weekday_Num]]=6, agg_orders_daily_revenue[[#This Row],[Weekday_Num]]=7), "Weekend", "Weekday")</f>
        <v>Weekend</v>
      </c>
      <c r="J77" t="str">
        <f>TEXT(agg_orders_daily_revenue[[#This Row],[Order_Date]], "ddd")</f>
        <v>Sat</v>
      </c>
    </row>
    <row r="78" spans="1:10" x14ac:dyDescent="0.4">
      <c r="A78" s="1">
        <v>45368</v>
      </c>
      <c r="B78">
        <v>469407</v>
      </c>
      <c r="C78">
        <v>509618.71</v>
      </c>
      <c r="D78">
        <v>377</v>
      </c>
      <c r="E78">
        <f>YEAR(agg_orders_daily_revenue[[#This Row],[Order_Date]])</f>
        <v>2024</v>
      </c>
      <c r="F78">
        <f>MONTH(agg_orders_daily_revenue[[#This Row],[Order_Date]])</f>
        <v>3</v>
      </c>
      <c r="G78" t="str">
        <f>TEXT(agg_orders_daily_revenue[[#This Row],[Order_Date]],"yyyy-mm")</f>
        <v>2024-03</v>
      </c>
      <c r="H78">
        <f>WEEKDAY(agg_orders_daily_revenue[[#This Row],[Order_Date]],2)</f>
        <v>7</v>
      </c>
      <c r="I78" t="str">
        <f>IF(OR(agg_orders_daily_revenue[[#This Row],[Weekday_Num]]=6, agg_orders_daily_revenue[[#This Row],[Weekday_Num]]=7), "Weekend", "Weekday")</f>
        <v>Weekend</v>
      </c>
      <c r="J78" t="str">
        <f>TEXT(agg_orders_daily_revenue[[#This Row],[Order_Date]], "ddd")</f>
        <v>Sun</v>
      </c>
    </row>
    <row r="79" spans="1:10" x14ac:dyDescent="0.4">
      <c r="A79" s="1">
        <v>45369</v>
      </c>
      <c r="B79">
        <v>509384</v>
      </c>
      <c r="C79">
        <v>515183.29</v>
      </c>
      <c r="D79">
        <v>408</v>
      </c>
      <c r="E79">
        <f>YEAR(agg_orders_daily_revenue[[#This Row],[Order_Date]])</f>
        <v>2024</v>
      </c>
      <c r="F79">
        <f>MONTH(agg_orders_daily_revenue[[#This Row],[Order_Date]])</f>
        <v>3</v>
      </c>
      <c r="G79" t="str">
        <f>TEXT(agg_orders_daily_revenue[[#This Row],[Order_Date]],"yyyy-mm")</f>
        <v>2024-03</v>
      </c>
      <c r="H79">
        <f>WEEKDAY(agg_orders_daily_revenue[[#This Row],[Order_Date]],2)</f>
        <v>1</v>
      </c>
      <c r="I79" t="str">
        <f>IF(OR(agg_orders_daily_revenue[[#This Row],[Weekday_Num]]=6, agg_orders_daily_revenue[[#This Row],[Weekday_Num]]=7), "Weekend", "Weekday")</f>
        <v>Weekday</v>
      </c>
      <c r="J79" t="str">
        <f>TEXT(agg_orders_daily_revenue[[#This Row],[Order_Date]], "ddd")</f>
        <v>Mon</v>
      </c>
    </row>
    <row r="80" spans="1:10" x14ac:dyDescent="0.4">
      <c r="A80" s="1">
        <v>45370</v>
      </c>
      <c r="B80">
        <v>506553</v>
      </c>
      <c r="C80">
        <v>506862.86</v>
      </c>
      <c r="D80">
        <v>405</v>
      </c>
      <c r="E80">
        <f>YEAR(agg_orders_daily_revenue[[#This Row],[Order_Date]])</f>
        <v>2024</v>
      </c>
      <c r="F80">
        <f>MONTH(agg_orders_daily_revenue[[#This Row],[Order_Date]])</f>
        <v>3</v>
      </c>
      <c r="G80" t="str">
        <f>TEXT(agg_orders_daily_revenue[[#This Row],[Order_Date]],"yyyy-mm")</f>
        <v>2024-03</v>
      </c>
      <c r="H80">
        <f>WEEKDAY(agg_orders_daily_revenue[[#This Row],[Order_Date]],2)</f>
        <v>2</v>
      </c>
      <c r="I80" t="str">
        <f>IF(OR(agg_orders_daily_revenue[[#This Row],[Weekday_Num]]=6, agg_orders_daily_revenue[[#This Row],[Weekday_Num]]=7), "Weekend", "Weekday")</f>
        <v>Weekday</v>
      </c>
      <c r="J80" t="str">
        <f>TEXT(agg_orders_daily_revenue[[#This Row],[Order_Date]], "ddd")</f>
        <v>Tue</v>
      </c>
    </row>
    <row r="81" spans="1:10" x14ac:dyDescent="0.4">
      <c r="A81" s="1">
        <v>45371</v>
      </c>
      <c r="B81">
        <v>459561</v>
      </c>
      <c r="C81">
        <v>499716.14</v>
      </c>
      <c r="D81">
        <v>388</v>
      </c>
      <c r="E81">
        <f>YEAR(agg_orders_daily_revenue[[#This Row],[Order_Date]])</f>
        <v>2024</v>
      </c>
      <c r="F81">
        <f>MONTH(agg_orders_daily_revenue[[#This Row],[Order_Date]])</f>
        <v>3</v>
      </c>
      <c r="G81" t="str">
        <f>TEXT(agg_orders_daily_revenue[[#This Row],[Order_Date]],"yyyy-mm")</f>
        <v>2024-03</v>
      </c>
      <c r="H81">
        <f>WEEKDAY(agg_orders_daily_revenue[[#This Row],[Order_Date]],2)</f>
        <v>3</v>
      </c>
      <c r="I81" t="str">
        <f>IF(OR(agg_orders_daily_revenue[[#This Row],[Weekday_Num]]=6, agg_orders_daily_revenue[[#This Row],[Weekday_Num]]=7), "Weekend", "Weekday")</f>
        <v>Weekday</v>
      </c>
      <c r="J81" t="str">
        <f>TEXT(agg_orders_daily_revenue[[#This Row],[Order_Date]], "ddd")</f>
        <v>Wed</v>
      </c>
    </row>
    <row r="82" spans="1:10" x14ac:dyDescent="0.4">
      <c r="A82" s="1">
        <v>45372</v>
      </c>
      <c r="B82">
        <v>507146</v>
      </c>
      <c r="C82">
        <v>494730</v>
      </c>
      <c r="D82">
        <v>414</v>
      </c>
      <c r="E82">
        <f>YEAR(agg_orders_daily_revenue[[#This Row],[Order_Date]])</f>
        <v>2024</v>
      </c>
      <c r="F82">
        <f>MONTH(agg_orders_daily_revenue[[#This Row],[Order_Date]])</f>
        <v>3</v>
      </c>
      <c r="G82" t="str">
        <f>TEXT(agg_orders_daily_revenue[[#This Row],[Order_Date]],"yyyy-mm")</f>
        <v>2024-03</v>
      </c>
      <c r="H82">
        <f>WEEKDAY(agg_orders_daily_revenue[[#This Row],[Order_Date]],2)</f>
        <v>4</v>
      </c>
      <c r="I82" t="str">
        <f>IF(OR(agg_orders_daily_revenue[[#This Row],[Weekday_Num]]=6, agg_orders_daily_revenue[[#This Row],[Weekday_Num]]=7), "Weekend", "Weekday")</f>
        <v>Weekday</v>
      </c>
      <c r="J82" t="str">
        <f>TEXT(agg_orders_daily_revenue[[#This Row],[Order_Date]], "ddd")</f>
        <v>Thu</v>
      </c>
    </row>
    <row r="83" spans="1:10" x14ac:dyDescent="0.4">
      <c r="A83" s="1">
        <v>45373</v>
      </c>
      <c r="B83">
        <v>579227</v>
      </c>
      <c r="C83">
        <v>510298.14</v>
      </c>
      <c r="D83">
        <v>446</v>
      </c>
      <c r="E83">
        <f>YEAR(agg_orders_daily_revenue[[#This Row],[Order_Date]])</f>
        <v>2024</v>
      </c>
      <c r="F83">
        <f>MONTH(agg_orders_daily_revenue[[#This Row],[Order_Date]])</f>
        <v>3</v>
      </c>
      <c r="G83" t="str">
        <f>TEXT(agg_orders_daily_revenue[[#This Row],[Order_Date]],"yyyy-mm")</f>
        <v>2024-03</v>
      </c>
      <c r="H83">
        <f>WEEKDAY(agg_orders_daily_revenue[[#This Row],[Order_Date]],2)</f>
        <v>5</v>
      </c>
      <c r="I83" t="str">
        <f>IF(OR(agg_orders_daily_revenue[[#This Row],[Weekday_Num]]=6, agg_orders_daily_revenue[[#This Row],[Weekday_Num]]=7), "Weekend", "Weekday")</f>
        <v>Weekday</v>
      </c>
      <c r="J83" t="str">
        <f>TEXT(agg_orders_daily_revenue[[#This Row],[Order_Date]], "ddd")</f>
        <v>Fri</v>
      </c>
    </row>
    <row r="84" spans="1:10" x14ac:dyDescent="0.4">
      <c r="A84" s="1">
        <v>45374</v>
      </c>
      <c r="B84">
        <v>550761</v>
      </c>
      <c r="C84">
        <v>511719.86</v>
      </c>
      <c r="D84">
        <v>426</v>
      </c>
      <c r="E84">
        <f>YEAR(agg_orders_daily_revenue[[#This Row],[Order_Date]])</f>
        <v>2024</v>
      </c>
      <c r="F84">
        <f>MONTH(agg_orders_daily_revenue[[#This Row],[Order_Date]])</f>
        <v>3</v>
      </c>
      <c r="G84" t="str">
        <f>TEXT(agg_orders_daily_revenue[[#This Row],[Order_Date]],"yyyy-mm")</f>
        <v>2024-03</v>
      </c>
      <c r="H84">
        <f>WEEKDAY(agg_orders_daily_revenue[[#This Row],[Order_Date]],2)</f>
        <v>6</v>
      </c>
      <c r="I84" t="str">
        <f>IF(OR(agg_orders_daily_revenue[[#This Row],[Weekday_Num]]=6, agg_orders_daily_revenue[[#This Row],[Weekday_Num]]=7), "Weekend", "Weekday")</f>
        <v>Weekend</v>
      </c>
      <c r="J84" t="str">
        <f>TEXT(agg_orders_daily_revenue[[#This Row],[Order_Date]], "ddd")</f>
        <v>Sat</v>
      </c>
    </row>
    <row r="85" spans="1:10" x14ac:dyDescent="0.4">
      <c r="A85" s="1">
        <v>45375</v>
      </c>
      <c r="B85">
        <v>547733</v>
      </c>
      <c r="C85">
        <v>522909.29</v>
      </c>
      <c r="D85">
        <v>426</v>
      </c>
      <c r="E85">
        <f>YEAR(agg_orders_daily_revenue[[#This Row],[Order_Date]])</f>
        <v>2024</v>
      </c>
      <c r="F85">
        <f>MONTH(agg_orders_daily_revenue[[#This Row],[Order_Date]])</f>
        <v>3</v>
      </c>
      <c r="G85" t="str">
        <f>TEXT(agg_orders_daily_revenue[[#This Row],[Order_Date]],"yyyy-mm")</f>
        <v>2024-03</v>
      </c>
      <c r="H85">
        <f>WEEKDAY(agg_orders_daily_revenue[[#This Row],[Order_Date]],2)</f>
        <v>7</v>
      </c>
      <c r="I85" t="str">
        <f>IF(OR(agg_orders_daily_revenue[[#This Row],[Weekday_Num]]=6, agg_orders_daily_revenue[[#This Row],[Weekday_Num]]=7), "Weekend", "Weekday")</f>
        <v>Weekend</v>
      </c>
      <c r="J85" t="str">
        <f>TEXT(agg_orders_daily_revenue[[#This Row],[Order_Date]], "ddd")</f>
        <v>Sun</v>
      </c>
    </row>
    <row r="86" spans="1:10" x14ac:dyDescent="0.4">
      <c r="A86" s="1">
        <v>45376</v>
      </c>
      <c r="B86">
        <v>486041</v>
      </c>
      <c r="C86">
        <v>519574.57</v>
      </c>
      <c r="D86">
        <v>382</v>
      </c>
      <c r="E86">
        <f>YEAR(agg_orders_daily_revenue[[#This Row],[Order_Date]])</f>
        <v>2024</v>
      </c>
      <c r="F86">
        <f>MONTH(agg_orders_daily_revenue[[#This Row],[Order_Date]])</f>
        <v>3</v>
      </c>
      <c r="G86" t="str">
        <f>TEXT(agg_orders_daily_revenue[[#This Row],[Order_Date]],"yyyy-mm")</f>
        <v>2024-03</v>
      </c>
      <c r="H86">
        <f>WEEKDAY(agg_orders_daily_revenue[[#This Row],[Order_Date]],2)</f>
        <v>1</v>
      </c>
      <c r="I86" t="str">
        <f>IF(OR(agg_orders_daily_revenue[[#This Row],[Weekday_Num]]=6, agg_orders_daily_revenue[[#This Row],[Weekday_Num]]=7), "Weekend", "Weekday")</f>
        <v>Weekday</v>
      </c>
      <c r="J86" t="str">
        <f>TEXT(agg_orders_daily_revenue[[#This Row],[Order_Date]], "ddd")</f>
        <v>Mon</v>
      </c>
    </row>
    <row r="87" spans="1:10" x14ac:dyDescent="0.4">
      <c r="A87" s="1">
        <v>45377</v>
      </c>
      <c r="B87">
        <v>523922</v>
      </c>
      <c r="C87">
        <v>522055.86</v>
      </c>
      <c r="D87">
        <v>430</v>
      </c>
      <c r="E87">
        <f>YEAR(agg_orders_daily_revenue[[#This Row],[Order_Date]])</f>
        <v>2024</v>
      </c>
      <c r="F87">
        <f>MONTH(agg_orders_daily_revenue[[#This Row],[Order_Date]])</f>
        <v>3</v>
      </c>
      <c r="G87" t="str">
        <f>TEXT(agg_orders_daily_revenue[[#This Row],[Order_Date]],"yyyy-mm")</f>
        <v>2024-03</v>
      </c>
      <c r="H87">
        <f>WEEKDAY(agg_orders_daily_revenue[[#This Row],[Order_Date]],2)</f>
        <v>2</v>
      </c>
      <c r="I87" t="str">
        <f>IF(OR(agg_orders_daily_revenue[[#This Row],[Weekday_Num]]=6, agg_orders_daily_revenue[[#This Row],[Weekday_Num]]=7), "Weekend", "Weekday")</f>
        <v>Weekday</v>
      </c>
      <c r="J87" t="str">
        <f>TEXT(agg_orders_daily_revenue[[#This Row],[Order_Date]], "ddd")</f>
        <v>Tue</v>
      </c>
    </row>
    <row r="88" spans="1:10" x14ac:dyDescent="0.4">
      <c r="A88" s="1">
        <v>45378</v>
      </c>
      <c r="B88">
        <v>551505</v>
      </c>
      <c r="C88">
        <v>535190.71</v>
      </c>
      <c r="D88">
        <v>434</v>
      </c>
      <c r="E88">
        <f>YEAR(agg_orders_daily_revenue[[#This Row],[Order_Date]])</f>
        <v>2024</v>
      </c>
      <c r="F88">
        <f>MONTH(agg_orders_daily_revenue[[#This Row],[Order_Date]])</f>
        <v>3</v>
      </c>
      <c r="G88" t="str">
        <f>TEXT(agg_orders_daily_revenue[[#This Row],[Order_Date]],"yyyy-mm")</f>
        <v>2024-03</v>
      </c>
      <c r="H88">
        <f>WEEKDAY(agg_orders_daily_revenue[[#This Row],[Order_Date]],2)</f>
        <v>3</v>
      </c>
      <c r="I88" t="str">
        <f>IF(OR(agg_orders_daily_revenue[[#This Row],[Weekday_Num]]=6, agg_orders_daily_revenue[[#This Row],[Weekday_Num]]=7), "Weekend", "Weekday")</f>
        <v>Weekday</v>
      </c>
      <c r="J88" t="str">
        <f>TEXT(agg_orders_daily_revenue[[#This Row],[Order_Date]], "ddd")</f>
        <v>Wed</v>
      </c>
    </row>
    <row r="89" spans="1:10" x14ac:dyDescent="0.4">
      <c r="A89" s="1">
        <v>45379</v>
      </c>
      <c r="B89">
        <v>481497</v>
      </c>
      <c r="C89">
        <v>531526.56999999995</v>
      </c>
      <c r="D89">
        <v>389</v>
      </c>
      <c r="E89">
        <f>YEAR(agg_orders_daily_revenue[[#This Row],[Order_Date]])</f>
        <v>2024</v>
      </c>
      <c r="F89">
        <f>MONTH(agg_orders_daily_revenue[[#This Row],[Order_Date]])</f>
        <v>3</v>
      </c>
      <c r="G89" t="str">
        <f>TEXT(agg_orders_daily_revenue[[#This Row],[Order_Date]],"yyyy-mm")</f>
        <v>2024-03</v>
      </c>
      <c r="H89">
        <f>WEEKDAY(agg_orders_daily_revenue[[#This Row],[Order_Date]],2)</f>
        <v>4</v>
      </c>
      <c r="I89" t="str">
        <f>IF(OR(agg_orders_daily_revenue[[#This Row],[Weekday_Num]]=6, agg_orders_daily_revenue[[#This Row],[Weekday_Num]]=7), "Weekend", "Weekday")</f>
        <v>Weekday</v>
      </c>
      <c r="J89" t="str">
        <f>TEXT(agg_orders_daily_revenue[[#This Row],[Order_Date]], "ddd")</f>
        <v>Thu</v>
      </c>
    </row>
    <row r="90" spans="1:10" x14ac:dyDescent="0.4">
      <c r="A90" s="1">
        <v>45380</v>
      </c>
      <c r="B90">
        <v>480045</v>
      </c>
      <c r="C90">
        <v>517357.71</v>
      </c>
      <c r="D90">
        <v>397</v>
      </c>
      <c r="E90">
        <f>YEAR(agg_orders_daily_revenue[[#This Row],[Order_Date]])</f>
        <v>2024</v>
      </c>
      <c r="F90">
        <f>MONTH(agg_orders_daily_revenue[[#This Row],[Order_Date]])</f>
        <v>3</v>
      </c>
      <c r="G90" t="str">
        <f>TEXT(agg_orders_daily_revenue[[#This Row],[Order_Date]],"yyyy-mm")</f>
        <v>2024-03</v>
      </c>
      <c r="H90">
        <f>WEEKDAY(agg_orders_daily_revenue[[#This Row],[Order_Date]],2)</f>
        <v>5</v>
      </c>
      <c r="I90" t="str">
        <f>IF(OR(agg_orders_daily_revenue[[#This Row],[Weekday_Num]]=6, agg_orders_daily_revenue[[#This Row],[Weekday_Num]]=7), "Weekend", "Weekday")</f>
        <v>Weekday</v>
      </c>
      <c r="J90" t="str">
        <f>TEXT(agg_orders_daily_revenue[[#This Row],[Order_Date]], "ddd")</f>
        <v>Fri</v>
      </c>
    </row>
    <row r="91" spans="1:10" x14ac:dyDescent="0.4">
      <c r="A91" s="1">
        <v>45381</v>
      </c>
      <c r="B91">
        <v>608531</v>
      </c>
      <c r="C91">
        <v>525610.56999999995</v>
      </c>
      <c r="D91">
        <v>478</v>
      </c>
      <c r="E91">
        <f>YEAR(agg_orders_daily_revenue[[#This Row],[Order_Date]])</f>
        <v>2024</v>
      </c>
      <c r="F91">
        <f>MONTH(agg_orders_daily_revenue[[#This Row],[Order_Date]])</f>
        <v>3</v>
      </c>
      <c r="G91" t="str">
        <f>TEXT(agg_orders_daily_revenue[[#This Row],[Order_Date]],"yyyy-mm")</f>
        <v>2024-03</v>
      </c>
      <c r="H91">
        <f>WEEKDAY(agg_orders_daily_revenue[[#This Row],[Order_Date]],2)</f>
        <v>6</v>
      </c>
      <c r="I91" t="str">
        <f>IF(OR(agg_orders_daily_revenue[[#This Row],[Weekday_Num]]=6, agg_orders_daily_revenue[[#This Row],[Weekday_Num]]=7), "Weekend", "Weekday")</f>
        <v>Weekend</v>
      </c>
      <c r="J91" t="str">
        <f>TEXT(agg_orders_daily_revenue[[#This Row],[Order_Date]], "ddd")</f>
        <v>Sat</v>
      </c>
    </row>
    <row r="92" spans="1:10" x14ac:dyDescent="0.4">
      <c r="A92" s="1">
        <v>45382</v>
      </c>
      <c r="B92">
        <v>485108</v>
      </c>
      <c r="C92">
        <v>516664.14</v>
      </c>
      <c r="D92">
        <v>382</v>
      </c>
      <c r="E92">
        <f>YEAR(agg_orders_daily_revenue[[#This Row],[Order_Date]])</f>
        <v>2024</v>
      </c>
      <c r="F92">
        <f>MONTH(agg_orders_daily_revenue[[#This Row],[Order_Date]])</f>
        <v>3</v>
      </c>
      <c r="G92" t="str">
        <f>TEXT(agg_orders_daily_revenue[[#This Row],[Order_Date]],"yyyy-mm")</f>
        <v>2024-03</v>
      </c>
      <c r="H92">
        <f>WEEKDAY(agg_orders_daily_revenue[[#This Row],[Order_Date]],2)</f>
        <v>7</v>
      </c>
      <c r="I92" t="str">
        <f>IF(OR(agg_orders_daily_revenue[[#This Row],[Weekday_Num]]=6, agg_orders_daily_revenue[[#This Row],[Weekday_Num]]=7), "Weekend", "Weekday")</f>
        <v>Weekend</v>
      </c>
      <c r="J92" t="str">
        <f>TEXT(agg_orders_daily_revenue[[#This Row],[Order_Date]], "ddd")</f>
        <v>Sun</v>
      </c>
    </row>
    <row r="93" spans="1:10" x14ac:dyDescent="0.4">
      <c r="A93" s="1">
        <v>45383</v>
      </c>
      <c r="B93">
        <v>497536</v>
      </c>
      <c r="C93">
        <v>518306.29</v>
      </c>
      <c r="D93">
        <v>401</v>
      </c>
      <c r="E93">
        <f>YEAR(agg_orders_daily_revenue[[#This Row],[Order_Date]])</f>
        <v>2024</v>
      </c>
      <c r="F93">
        <f>MONTH(agg_orders_daily_revenue[[#This Row],[Order_Date]])</f>
        <v>4</v>
      </c>
      <c r="G93" t="str">
        <f>TEXT(agg_orders_daily_revenue[[#This Row],[Order_Date]],"yyyy-mm")</f>
        <v>2024-04</v>
      </c>
      <c r="H93">
        <f>WEEKDAY(agg_orders_daily_revenue[[#This Row],[Order_Date]],2)</f>
        <v>1</v>
      </c>
      <c r="I93" t="str">
        <f>IF(OR(agg_orders_daily_revenue[[#This Row],[Weekday_Num]]=6, agg_orders_daily_revenue[[#This Row],[Weekday_Num]]=7), "Weekend", "Weekday")</f>
        <v>Weekday</v>
      </c>
      <c r="J93" t="str">
        <f>TEXT(agg_orders_daily_revenue[[#This Row],[Order_Date]], "ddd")</f>
        <v>Mon</v>
      </c>
    </row>
    <row r="94" spans="1:10" x14ac:dyDescent="0.4">
      <c r="A94" s="1">
        <v>45384</v>
      </c>
      <c r="B94">
        <v>491170</v>
      </c>
      <c r="C94">
        <v>513627.43</v>
      </c>
      <c r="D94">
        <v>400</v>
      </c>
      <c r="E94">
        <f>YEAR(agg_orders_daily_revenue[[#This Row],[Order_Date]])</f>
        <v>2024</v>
      </c>
      <c r="F94">
        <f>MONTH(agg_orders_daily_revenue[[#This Row],[Order_Date]])</f>
        <v>4</v>
      </c>
      <c r="G94" t="str">
        <f>TEXT(agg_orders_daily_revenue[[#This Row],[Order_Date]],"yyyy-mm")</f>
        <v>2024-04</v>
      </c>
      <c r="H94">
        <f>WEEKDAY(agg_orders_daily_revenue[[#This Row],[Order_Date]],2)</f>
        <v>2</v>
      </c>
      <c r="I94" t="str">
        <f>IF(OR(agg_orders_daily_revenue[[#This Row],[Weekday_Num]]=6, agg_orders_daily_revenue[[#This Row],[Weekday_Num]]=7), "Weekend", "Weekday")</f>
        <v>Weekday</v>
      </c>
      <c r="J94" t="str">
        <f>TEXT(agg_orders_daily_revenue[[#This Row],[Order_Date]], "ddd")</f>
        <v>Tue</v>
      </c>
    </row>
    <row r="95" spans="1:10" x14ac:dyDescent="0.4">
      <c r="A95" s="1">
        <v>45385</v>
      </c>
      <c r="B95">
        <v>528897</v>
      </c>
      <c r="C95">
        <v>510397.71</v>
      </c>
      <c r="D95">
        <v>413</v>
      </c>
      <c r="E95">
        <f>YEAR(agg_orders_daily_revenue[[#This Row],[Order_Date]])</f>
        <v>2024</v>
      </c>
      <c r="F95">
        <f>MONTH(agg_orders_daily_revenue[[#This Row],[Order_Date]])</f>
        <v>4</v>
      </c>
      <c r="G95" t="str">
        <f>TEXT(agg_orders_daily_revenue[[#This Row],[Order_Date]],"yyyy-mm")</f>
        <v>2024-04</v>
      </c>
      <c r="H95">
        <f>WEEKDAY(agg_orders_daily_revenue[[#This Row],[Order_Date]],2)</f>
        <v>3</v>
      </c>
      <c r="I95" t="str">
        <f>IF(OR(agg_orders_daily_revenue[[#This Row],[Weekday_Num]]=6, agg_orders_daily_revenue[[#This Row],[Weekday_Num]]=7), "Weekend", "Weekday")</f>
        <v>Weekday</v>
      </c>
      <c r="J95" t="str">
        <f>TEXT(agg_orders_daily_revenue[[#This Row],[Order_Date]], "ddd")</f>
        <v>Wed</v>
      </c>
    </row>
    <row r="96" spans="1:10" x14ac:dyDescent="0.4">
      <c r="A96" s="1">
        <v>45386</v>
      </c>
      <c r="B96">
        <v>472512</v>
      </c>
      <c r="C96">
        <v>509114.14</v>
      </c>
      <c r="D96">
        <v>390</v>
      </c>
      <c r="E96">
        <f>YEAR(agg_orders_daily_revenue[[#This Row],[Order_Date]])</f>
        <v>2024</v>
      </c>
      <c r="F96">
        <f>MONTH(agg_orders_daily_revenue[[#This Row],[Order_Date]])</f>
        <v>4</v>
      </c>
      <c r="G96" t="str">
        <f>TEXT(agg_orders_daily_revenue[[#This Row],[Order_Date]],"yyyy-mm")</f>
        <v>2024-04</v>
      </c>
      <c r="H96">
        <f>WEEKDAY(agg_orders_daily_revenue[[#This Row],[Order_Date]],2)</f>
        <v>4</v>
      </c>
      <c r="I96" t="str">
        <f>IF(OR(agg_orders_daily_revenue[[#This Row],[Weekday_Num]]=6, agg_orders_daily_revenue[[#This Row],[Weekday_Num]]=7), "Weekend", "Weekday")</f>
        <v>Weekday</v>
      </c>
      <c r="J96" t="str">
        <f>TEXT(agg_orders_daily_revenue[[#This Row],[Order_Date]], "ddd")</f>
        <v>Thu</v>
      </c>
    </row>
    <row r="97" spans="1:10" x14ac:dyDescent="0.4">
      <c r="A97" s="1">
        <v>45387</v>
      </c>
      <c r="B97">
        <v>508963</v>
      </c>
      <c r="C97">
        <v>513245.29</v>
      </c>
      <c r="D97">
        <v>415</v>
      </c>
      <c r="E97">
        <f>YEAR(agg_orders_daily_revenue[[#This Row],[Order_Date]])</f>
        <v>2024</v>
      </c>
      <c r="F97">
        <f>MONTH(agg_orders_daily_revenue[[#This Row],[Order_Date]])</f>
        <v>4</v>
      </c>
      <c r="G97" t="str">
        <f>TEXT(agg_orders_daily_revenue[[#This Row],[Order_Date]],"yyyy-mm")</f>
        <v>2024-04</v>
      </c>
      <c r="H97">
        <f>WEEKDAY(agg_orders_daily_revenue[[#This Row],[Order_Date]],2)</f>
        <v>5</v>
      </c>
      <c r="I97" t="str">
        <f>IF(OR(agg_orders_daily_revenue[[#This Row],[Weekday_Num]]=6, agg_orders_daily_revenue[[#This Row],[Weekday_Num]]=7), "Weekend", "Weekday")</f>
        <v>Weekday</v>
      </c>
      <c r="J97" t="str">
        <f>TEXT(agg_orders_daily_revenue[[#This Row],[Order_Date]], "ddd")</f>
        <v>Fri</v>
      </c>
    </row>
    <row r="98" spans="1:10" x14ac:dyDescent="0.4">
      <c r="A98" s="1">
        <v>45388</v>
      </c>
      <c r="B98">
        <v>502788</v>
      </c>
      <c r="C98">
        <v>498139.14</v>
      </c>
      <c r="D98">
        <v>395</v>
      </c>
      <c r="E98">
        <f>YEAR(agg_orders_daily_revenue[[#This Row],[Order_Date]])</f>
        <v>2024</v>
      </c>
      <c r="F98">
        <f>MONTH(agg_orders_daily_revenue[[#This Row],[Order_Date]])</f>
        <v>4</v>
      </c>
      <c r="G98" t="str">
        <f>TEXT(agg_orders_daily_revenue[[#This Row],[Order_Date]],"yyyy-mm")</f>
        <v>2024-04</v>
      </c>
      <c r="H98">
        <f>WEEKDAY(agg_orders_daily_revenue[[#This Row],[Order_Date]],2)</f>
        <v>6</v>
      </c>
      <c r="I98" t="str">
        <f>IF(OR(agg_orders_daily_revenue[[#This Row],[Weekday_Num]]=6, agg_orders_daily_revenue[[#This Row],[Weekday_Num]]=7), "Weekend", "Weekday")</f>
        <v>Weekend</v>
      </c>
      <c r="J98" t="str">
        <f>TEXT(agg_orders_daily_revenue[[#This Row],[Order_Date]], "ddd")</f>
        <v>Sat</v>
      </c>
    </row>
    <row r="99" spans="1:10" x14ac:dyDescent="0.4">
      <c r="A99" s="1">
        <v>45389</v>
      </c>
      <c r="B99">
        <v>524517</v>
      </c>
      <c r="C99">
        <v>503769</v>
      </c>
      <c r="D99">
        <v>438</v>
      </c>
      <c r="E99">
        <f>YEAR(agg_orders_daily_revenue[[#This Row],[Order_Date]])</f>
        <v>2024</v>
      </c>
      <c r="F99">
        <f>MONTH(agg_orders_daily_revenue[[#This Row],[Order_Date]])</f>
        <v>4</v>
      </c>
      <c r="G99" t="str">
        <f>TEXT(agg_orders_daily_revenue[[#This Row],[Order_Date]],"yyyy-mm")</f>
        <v>2024-04</v>
      </c>
      <c r="H99">
        <f>WEEKDAY(agg_orders_daily_revenue[[#This Row],[Order_Date]],2)</f>
        <v>7</v>
      </c>
      <c r="I99" t="str">
        <f>IF(OR(agg_orders_daily_revenue[[#This Row],[Weekday_Num]]=6, agg_orders_daily_revenue[[#This Row],[Weekday_Num]]=7), "Weekend", "Weekday")</f>
        <v>Weekend</v>
      </c>
      <c r="J99" t="str">
        <f>TEXT(agg_orders_daily_revenue[[#This Row],[Order_Date]], "ddd")</f>
        <v>Sun</v>
      </c>
    </row>
    <row r="100" spans="1:10" x14ac:dyDescent="0.4">
      <c r="A100" s="1">
        <v>45390</v>
      </c>
      <c r="B100">
        <v>508077</v>
      </c>
      <c r="C100">
        <v>505274.86</v>
      </c>
      <c r="D100">
        <v>396</v>
      </c>
      <c r="E100">
        <f>YEAR(agg_orders_daily_revenue[[#This Row],[Order_Date]])</f>
        <v>2024</v>
      </c>
      <c r="F100">
        <f>MONTH(agg_orders_daily_revenue[[#This Row],[Order_Date]])</f>
        <v>4</v>
      </c>
      <c r="G100" t="str">
        <f>TEXT(agg_orders_daily_revenue[[#This Row],[Order_Date]],"yyyy-mm")</f>
        <v>2024-04</v>
      </c>
      <c r="H100">
        <f>WEEKDAY(agg_orders_daily_revenue[[#This Row],[Order_Date]],2)</f>
        <v>1</v>
      </c>
      <c r="I100" t="str">
        <f>IF(OR(agg_orders_daily_revenue[[#This Row],[Weekday_Num]]=6, agg_orders_daily_revenue[[#This Row],[Weekday_Num]]=7), "Weekend", "Weekday")</f>
        <v>Weekday</v>
      </c>
      <c r="J100" t="str">
        <f>TEXT(agg_orders_daily_revenue[[#This Row],[Order_Date]], "ddd")</f>
        <v>Mon</v>
      </c>
    </row>
    <row r="101" spans="1:10" x14ac:dyDescent="0.4">
      <c r="A101" s="1">
        <v>45391</v>
      </c>
      <c r="B101">
        <v>512829</v>
      </c>
      <c r="C101">
        <v>508369</v>
      </c>
      <c r="D101">
        <v>405</v>
      </c>
      <c r="E101">
        <f>YEAR(agg_orders_daily_revenue[[#This Row],[Order_Date]])</f>
        <v>2024</v>
      </c>
      <c r="F101">
        <f>MONTH(agg_orders_daily_revenue[[#This Row],[Order_Date]])</f>
        <v>4</v>
      </c>
      <c r="G101" t="str">
        <f>TEXT(agg_orders_daily_revenue[[#This Row],[Order_Date]],"yyyy-mm")</f>
        <v>2024-04</v>
      </c>
      <c r="H101">
        <f>WEEKDAY(agg_orders_daily_revenue[[#This Row],[Order_Date]],2)</f>
        <v>2</v>
      </c>
      <c r="I101" t="str">
        <f>IF(OR(agg_orders_daily_revenue[[#This Row],[Weekday_Num]]=6, agg_orders_daily_revenue[[#This Row],[Weekday_Num]]=7), "Weekend", "Weekday")</f>
        <v>Weekday</v>
      </c>
      <c r="J101" t="str">
        <f>TEXT(agg_orders_daily_revenue[[#This Row],[Order_Date]], "ddd")</f>
        <v>Tue</v>
      </c>
    </row>
    <row r="102" spans="1:10" x14ac:dyDescent="0.4">
      <c r="A102" s="1">
        <v>45392</v>
      </c>
      <c r="B102">
        <v>488157</v>
      </c>
      <c r="C102">
        <v>502549</v>
      </c>
      <c r="D102">
        <v>385</v>
      </c>
      <c r="E102">
        <f>YEAR(agg_orders_daily_revenue[[#This Row],[Order_Date]])</f>
        <v>2024</v>
      </c>
      <c r="F102">
        <f>MONTH(agg_orders_daily_revenue[[#This Row],[Order_Date]])</f>
        <v>4</v>
      </c>
      <c r="G102" t="str">
        <f>TEXT(agg_orders_daily_revenue[[#This Row],[Order_Date]],"yyyy-mm")</f>
        <v>2024-04</v>
      </c>
      <c r="H102">
        <f>WEEKDAY(agg_orders_daily_revenue[[#This Row],[Order_Date]],2)</f>
        <v>3</v>
      </c>
      <c r="I102" t="str">
        <f>IF(OR(agg_orders_daily_revenue[[#This Row],[Weekday_Num]]=6, agg_orders_daily_revenue[[#This Row],[Weekday_Num]]=7), "Weekend", "Weekday")</f>
        <v>Weekday</v>
      </c>
      <c r="J102" t="str">
        <f>TEXT(agg_orders_daily_revenue[[#This Row],[Order_Date]], "ddd")</f>
        <v>Wed</v>
      </c>
    </row>
    <row r="103" spans="1:10" x14ac:dyDescent="0.4">
      <c r="A103" s="1">
        <v>45393</v>
      </c>
      <c r="B103">
        <v>502808</v>
      </c>
      <c r="C103">
        <v>506877</v>
      </c>
      <c r="D103">
        <v>381</v>
      </c>
      <c r="E103">
        <f>YEAR(agg_orders_daily_revenue[[#This Row],[Order_Date]])</f>
        <v>2024</v>
      </c>
      <c r="F103">
        <f>MONTH(agg_orders_daily_revenue[[#This Row],[Order_Date]])</f>
        <v>4</v>
      </c>
      <c r="G103" t="str">
        <f>TEXT(agg_orders_daily_revenue[[#This Row],[Order_Date]],"yyyy-mm")</f>
        <v>2024-04</v>
      </c>
      <c r="H103">
        <f>WEEKDAY(agg_orders_daily_revenue[[#This Row],[Order_Date]],2)</f>
        <v>4</v>
      </c>
      <c r="I103" t="str">
        <f>IF(OR(agg_orders_daily_revenue[[#This Row],[Weekday_Num]]=6, agg_orders_daily_revenue[[#This Row],[Weekday_Num]]=7), "Weekend", "Weekday")</f>
        <v>Weekday</v>
      </c>
      <c r="J103" t="str">
        <f>TEXT(agg_orders_daily_revenue[[#This Row],[Order_Date]], "ddd")</f>
        <v>Thu</v>
      </c>
    </row>
    <row r="104" spans="1:10" x14ac:dyDescent="0.4">
      <c r="A104" s="1">
        <v>45394</v>
      </c>
      <c r="B104">
        <v>549560</v>
      </c>
      <c r="C104">
        <v>512676.57</v>
      </c>
      <c r="D104">
        <v>436</v>
      </c>
      <c r="E104">
        <f>YEAR(agg_orders_daily_revenue[[#This Row],[Order_Date]])</f>
        <v>2024</v>
      </c>
      <c r="F104">
        <f>MONTH(agg_orders_daily_revenue[[#This Row],[Order_Date]])</f>
        <v>4</v>
      </c>
      <c r="G104" t="str">
        <f>TEXT(agg_orders_daily_revenue[[#This Row],[Order_Date]],"yyyy-mm")</f>
        <v>2024-04</v>
      </c>
      <c r="H104">
        <f>WEEKDAY(agg_orders_daily_revenue[[#This Row],[Order_Date]],2)</f>
        <v>5</v>
      </c>
      <c r="I104" t="str">
        <f>IF(OR(agg_orders_daily_revenue[[#This Row],[Weekday_Num]]=6, agg_orders_daily_revenue[[#This Row],[Weekday_Num]]=7), "Weekend", "Weekday")</f>
        <v>Weekday</v>
      </c>
      <c r="J104" t="str">
        <f>TEXT(agg_orders_daily_revenue[[#This Row],[Order_Date]], "ddd")</f>
        <v>Fri</v>
      </c>
    </row>
    <row r="105" spans="1:10" x14ac:dyDescent="0.4">
      <c r="A105" s="1">
        <v>45395</v>
      </c>
      <c r="B105">
        <v>487127</v>
      </c>
      <c r="C105">
        <v>510439.29</v>
      </c>
      <c r="D105">
        <v>373</v>
      </c>
      <c r="E105">
        <f>YEAR(agg_orders_daily_revenue[[#This Row],[Order_Date]])</f>
        <v>2024</v>
      </c>
      <c r="F105">
        <f>MONTH(agg_orders_daily_revenue[[#This Row],[Order_Date]])</f>
        <v>4</v>
      </c>
      <c r="G105" t="str">
        <f>TEXT(agg_orders_daily_revenue[[#This Row],[Order_Date]],"yyyy-mm")</f>
        <v>2024-04</v>
      </c>
      <c r="H105">
        <f>WEEKDAY(agg_orders_daily_revenue[[#This Row],[Order_Date]],2)</f>
        <v>6</v>
      </c>
      <c r="I105" t="str">
        <f>IF(OR(agg_orders_daily_revenue[[#This Row],[Weekday_Num]]=6, agg_orders_daily_revenue[[#This Row],[Weekday_Num]]=7), "Weekend", "Weekday")</f>
        <v>Weekend</v>
      </c>
      <c r="J105" t="str">
        <f>TEXT(agg_orders_daily_revenue[[#This Row],[Order_Date]], "ddd")</f>
        <v>Sat</v>
      </c>
    </row>
    <row r="106" spans="1:10" x14ac:dyDescent="0.4">
      <c r="A106" s="1">
        <v>45396</v>
      </c>
      <c r="B106">
        <v>553248</v>
      </c>
      <c r="C106">
        <v>514543.71</v>
      </c>
      <c r="D106">
        <v>439</v>
      </c>
      <c r="E106">
        <f>YEAR(agg_orders_daily_revenue[[#This Row],[Order_Date]])</f>
        <v>2024</v>
      </c>
      <c r="F106">
        <f>MONTH(agg_orders_daily_revenue[[#This Row],[Order_Date]])</f>
        <v>4</v>
      </c>
      <c r="G106" t="str">
        <f>TEXT(agg_orders_daily_revenue[[#This Row],[Order_Date]],"yyyy-mm")</f>
        <v>2024-04</v>
      </c>
      <c r="H106">
        <f>WEEKDAY(agg_orders_daily_revenue[[#This Row],[Order_Date]],2)</f>
        <v>7</v>
      </c>
      <c r="I106" t="str">
        <f>IF(OR(agg_orders_daily_revenue[[#This Row],[Weekday_Num]]=6, agg_orders_daily_revenue[[#This Row],[Weekday_Num]]=7), "Weekend", "Weekday")</f>
        <v>Weekend</v>
      </c>
      <c r="J106" t="str">
        <f>TEXT(agg_orders_daily_revenue[[#This Row],[Order_Date]], "ddd")</f>
        <v>Sun</v>
      </c>
    </row>
    <row r="107" spans="1:10" x14ac:dyDescent="0.4">
      <c r="A107" s="1">
        <v>45397</v>
      </c>
      <c r="B107">
        <v>527535</v>
      </c>
      <c r="C107">
        <v>517323.43</v>
      </c>
      <c r="D107">
        <v>411</v>
      </c>
      <c r="E107">
        <f>YEAR(agg_orders_daily_revenue[[#This Row],[Order_Date]])</f>
        <v>2024</v>
      </c>
      <c r="F107">
        <f>MONTH(agg_orders_daily_revenue[[#This Row],[Order_Date]])</f>
        <v>4</v>
      </c>
      <c r="G107" t="str">
        <f>TEXT(agg_orders_daily_revenue[[#This Row],[Order_Date]],"yyyy-mm")</f>
        <v>2024-04</v>
      </c>
      <c r="H107">
        <f>WEEKDAY(agg_orders_daily_revenue[[#This Row],[Order_Date]],2)</f>
        <v>1</v>
      </c>
      <c r="I107" t="str">
        <f>IF(OR(agg_orders_daily_revenue[[#This Row],[Weekday_Num]]=6, agg_orders_daily_revenue[[#This Row],[Weekday_Num]]=7), "Weekend", "Weekday")</f>
        <v>Weekday</v>
      </c>
      <c r="J107" t="str">
        <f>TEXT(agg_orders_daily_revenue[[#This Row],[Order_Date]], "ddd")</f>
        <v>Mon</v>
      </c>
    </row>
    <row r="108" spans="1:10" x14ac:dyDescent="0.4">
      <c r="A108" s="1">
        <v>45398</v>
      </c>
      <c r="B108">
        <v>537035</v>
      </c>
      <c r="C108">
        <v>520781.43</v>
      </c>
      <c r="D108">
        <v>403</v>
      </c>
      <c r="E108">
        <f>YEAR(agg_orders_daily_revenue[[#This Row],[Order_Date]])</f>
        <v>2024</v>
      </c>
      <c r="F108">
        <f>MONTH(agg_orders_daily_revenue[[#This Row],[Order_Date]])</f>
        <v>4</v>
      </c>
      <c r="G108" t="str">
        <f>TEXT(agg_orders_daily_revenue[[#This Row],[Order_Date]],"yyyy-mm")</f>
        <v>2024-04</v>
      </c>
      <c r="H108">
        <f>WEEKDAY(agg_orders_daily_revenue[[#This Row],[Order_Date]],2)</f>
        <v>2</v>
      </c>
      <c r="I108" t="str">
        <f>IF(OR(agg_orders_daily_revenue[[#This Row],[Weekday_Num]]=6, agg_orders_daily_revenue[[#This Row],[Weekday_Num]]=7), "Weekend", "Weekday")</f>
        <v>Weekday</v>
      </c>
      <c r="J108" t="str">
        <f>TEXT(agg_orders_daily_revenue[[#This Row],[Order_Date]], "ddd")</f>
        <v>Tue</v>
      </c>
    </row>
    <row r="109" spans="1:10" x14ac:dyDescent="0.4">
      <c r="A109" s="1">
        <v>45399</v>
      </c>
      <c r="B109">
        <v>495624</v>
      </c>
      <c r="C109">
        <v>521848.14</v>
      </c>
      <c r="D109">
        <v>416</v>
      </c>
      <c r="E109">
        <f>YEAR(agg_orders_daily_revenue[[#This Row],[Order_Date]])</f>
        <v>2024</v>
      </c>
      <c r="F109">
        <f>MONTH(agg_orders_daily_revenue[[#This Row],[Order_Date]])</f>
        <v>4</v>
      </c>
      <c r="G109" t="str">
        <f>TEXT(agg_orders_daily_revenue[[#This Row],[Order_Date]],"yyyy-mm")</f>
        <v>2024-04</v>
      </c>
      <c r="H109">
        <f>WEEKDAY(agg_orders_daily_revenue[[#This Row],[Order_Date]],2)</f>
        <v>3</v>
      </c>
      <c r="I109" t="str">
        <f>IF(OR(agg_orders_daily_revenue[[#This Row],[Weekday_Num]]=6, agg_orders_daily_revenue[[#This Row],[Weekday_Num]]=7), "Weekend", "Weekday")</f>
        <v>Weekday</v>
      </c>
      <c r="J109" t="str">
        <f>TEXT(agg_orders_daily_revenue[[#This Row],[Order_Date]], "ddd")</f>
        <v>Wed</v>
      </c>
    </row>
    <row r="110" spans="1:10" x14ac:dyDescent="0.4">
      <c r="A110" s="1">
        <v>45400</v>
      </c>
      <c r="B110">
        <v>503690</v>
      </c>
      <c r="C110">
        <v>521974.14</v>
      </c>
      <c r="D110">
        <v>403</v>
      </c>
      <c r="E110">
        <f>YEAR(agg_orders_daily_revenue[[#This Row],[Order_Date]])</f>
        <v>2024</v>
      </c>
      <c r="F110">
        <f>MONTH(agg_orders_daily_revenue[[#This Row],[Order_Date]])</f>
        <v>4</v>
      </c>
      <c r="G110" t="str">
        <f>TEXT(agg_orders_daily_revenue[[#This Row],[Order_Date]],"yyyy-mm")</f>
        <v>2024-04</v>
      </c>
      <c r="H110">
        <f>WEEKDAY(agg_orders_daily_revenue[[#This Row],[Order_Date]],2)</f>
        <v>4</v>
      </c>
      <c r="I110" t="str">
        <f>IF(OR(agg_orders_daily_revenue[[#This Row],[Weekday_Num]]=6, agg_orders_daily_revenue[[#This Row],[Weekday_Num]]=7), "Weekend", "Weekday")</f>
        <v>Weekday</v>
      </c>
      <c r="J110" t="str">
        <f>TEXT(agg_orders_daily_revenue[[#This Row],[Order_Date]], "ddd")</f>
        <v>Thu</v>
      </c>
    </row>
    <row r="111" spans="1:10" x14ac:dyDescent="0.4">
      <c r="A111" s="1">
        <v>45401</v>
      </c>
      <c r="B111">
        <v>500241</v>
      </c>
      <c r="C111">
        <v>514928.57</v>
      </c>
      <c r="D111">
        <v>400</v>
      </c>
      <c r="E111">
        <f>YEAR(agg_orders_daily_revenue[[#This Row],[Order_Date]])</f>
        <v>2024</v>
      </c>
      <c r="F111">
        <f>MONTH(agg_orders_daily_revenue[[#This Row],[Order_Date]])</f>
        <v>4</v>
      </c>
      <c r="G111" t="str">
        <f>TEXT(agg_orders_daily_revenue[[#This Row],[Order_Date]],"yyyy-mm")</f>
        <v>2024-04</v>
      </c>
      <c r="H111">
        <f>WEEKDAY(agg_orders_daily_revenue[[#This Row],[Order_Date]],2)</f>
        <v>5</v>
      </c>
      <c r="I111" t="str">
        <f>IF(OR(agg_orders_daily_revenue[[#This Row],[Weekday_Num]]=6, agg_orders_daily_revenue[[#This Row],[Weekday_Num]]=7), "Weekend", "Weekday")</f>
        <v>Weekday</v>
      </c>
      <c r="J111" t="str">
        <f>TEXT(agg_orders_daily_revenue[[#This Row],[Order_Date]], "ddd")</f>
        <v>Fri</v>
      </c>
    </row>
    <row r="112" spans="1:10" x14ac:dyDescent="0.4">
      <c r="A112" s="1">
        <v>45402</v>
      </c>
      <c r="B112">
        <v>524462</v>
      </c>
      <c r="C112">
        <v>520262.14</v>
      </c>
      <c r="D112">
        <v>430</v>
      </c>
      <c r="E112">
        <f>YEAR(agg_orders_daily_revenue[[#This Row],[Order_Date]])</f>
        <v>2024</v>
      </c>
      <c r="F112">
        <f>MONTH(agg_orders_daily_revenue[[#This Row],[Order_Date]])</f>
        <v>4</v>
      </c>
      <c r="G112" t="str">
        <f>TEXT(agg_orders_daily_revenue[[#This Row],[Order_Date]],"yyyy-mm")</f>
        <v>2024-04</v>
      </c>
      <c r="H112">
        <f>WEEKDAY(agg_orders_daily_revenue[[#This Row],[Order_Date]],2)</f>
        <v>6</v>
      </c>
      <c r="I112" t="str">
        <f>IF(OR(agg_orders_daily_revenue[[#This Row],[Weekday_Num]]=6, agg_orders_daily_revenue[[#This Row],[Weekday_Num]]=7), "Weekend", "Weekday")</f>
        <v>Weekend</v>
      </c>
      <c r="J112" t="str">
        <f>TEXT(agg_orders_daily_revenue[[#This Row],[Order_Date]], "ddd")</f>
        <v>Sat</v>
      </c>
    </row>
    <row r="113" spans="1:10" x14ac:dyDescent="0.4">
      <c r="A113" s="1">
        <v>45403</v>
      </c>
      <c r="B113">
        <v>514868</v>
      </c>
      <c r="C113">
        <v>514779.29</v>
      </c>
      <c r="D113">
        <v>413</v>
      </c>
      <c r="E113">
        <f>YEAR(agg_orders_daily_revenue[[#This Row],[Order_Date]])</f>
        <v>2024</v>
      </c>
      <c r="F113">
        <f>MONTH(agg_orders_daily_revenue[[#This Row],[Order_Date]])</f>
        <v>4</v>
      </c>
      <c r="G113" t="str">
        <f>TEXT(agg_orders_daily_revenue[[#This Row],[Order_Date]],"yyyy-mm")</f>
        <v>2024-04</v>
      </c>
      <c r="H113">
        <f>WEEKDAY(agg_orders_daily_revenue[[#This Row],[Order_Date]],2)</f>
        <v>7</v>
      </c>
      <c r="I113" t="str">
        <f>IF(OR(agg_orders_daily_revenue[[#This Row],[Weekday_Num]]=6, agg_orders_daily_revenue[[#This Row],[Weekday_Num]]=7), "Weekend", "Weekday")</f>
        <v>Weekend</v>
      </c>
      <c r="J113" t="str">
        <f>TEXT(agg_orders_daily_revenue[[#This Row],[Order_Date]], "ddd")</f>
        <v>Sun</v>
      </c>
    </row>
    <row r="114" spans="1:10" x14ac:dyDescent="0.4">
      <c r="A114" s="1">
        <v>45404</v>
      </c>
      <c r="B114">
        <v>511880</v>
      </c>
      <c r="C114">
        <v>512542.86</v>
      </c>
      <c r="D114">
        <v>412</v>
      </c>
      <c r="E114">
        <f>YEAR(agg_orders_daily_revenue[[#This Row],[Order_Date]])</f>
        <v>2024</v>
      </c>
      <c r="F114">
        <f>MONTH(agg_orders_daily_revenue[[#This Row],[Order_Date]])</f>
        <v>4</v>
      </c>
      <c r="G114" t="str">
        <f>TEXT(agg_orders_daily_revenue[[#This Row],[Order_Date]],"yyyy-mm")</f>
        <v>2024-04</v>
      </c>
      <c r="H114">
        <f>WEEKDAY(agg_orders_daily_revenue[[#This Row],[Order_Date]],2)</f>
        <v>1</v>
      </c>
      <c r="I114" t="str">
        <f>IF(OR(agg_orders_daily_revenue[[#This Row],[Weekday_Num]]=6, agg_orders_daily_revenue[[#This Row],[Weekday_Num]]=7), "Weekend", "Weekday")</f>
        <v>Weekday</v>
      </c>
      <c r="J114" t="str">
        <f>TEXT(agg_orders_daily_revenue[[#This Row],[Order_Date]], "ddd")</f>
        <v>Mon</v>
      </c>
    </row>
    <row r="115" spans="1:10" x14ac:dyDescent="0.4">
      <c r="A115" s="1">
        <v>45405</v>
      </c>
      <c r="B115">
        <v>544858</v>
      </c>
      <c r="C115">
        <v>513660.43</v>
      </c>
      <c r="D115">
        <v>425</v>
      </c>
      <c r="E115">
        <f>YEAR(agg_orders_daily_revenue[[#This Row],[Order_Date]])</f>
        <v>2024</v>
      </c>
      <c r="F115">
        <f>MONTH(agg_orders_daily_revenue[[#This Row],[Order_Date]])</f>
        <v>4</v>
      </c>
      <c r="G115" t="str">
        <f>TEXT(agg_orders_daily_revenue[[#This Row],[Order_Date]],"yyyy-mm")</f>
        <v>2024-04</v>
      </c>
      <c r="H115">
        <f>WEEKDAY(agg_orders_daily_revenue[[#This Row],[Order_Date]],2)</f>
        <v>2</v>
      </c>
      <c r="I115" t="str">
        <f>IF(OR(agg_orders_daily_revenue[[#This Row],[Weekday_Num]]=6, agg_orders_daily_revenue[[#This Row],[Weekday_Num]]=7), "Weekend", "Weekday")</f>
        <v>Weekday</v>
      </c>
      <c r="J115" t="str">
        <f>TEXT(agg_orders_daily_revenue[[#This Row],[Order_Date]], "ddd")</f>
        <v>Tue</v>
      </c>
    </row>
    <row r="116" spans="1:10" x14ac:dyDescent="0.4">
      <c r="A116" s="1">
        <v>45406</v>
      </c>
      <c r="B116">
        <v>495896</v>
      </c>
      <c r="C116">
        <v>513699.29</v>
      </c>
      <c r="D116">
        <v>397</v>
      </c>
      <c r="E116">
        <f>YEAR(agg_orders_daily_revenue[[#This Row],[Order_Date]])</f>
        <v>2024</v>
      </c>
      <c r="F116">
        <f>MONTH(agg_orders_daily_revenue[[#This Row],[Order_Date]])</f>
        <v>4</v>
      </c>
      <c r="G116" t="str">
        <f>TEXT(agg_orders_daily_revenue[[#This Row],[Order_Date]],"yyyy-mm")</f>
        <v>2024-04</v>
      </c>
      <c r="H116">
        <f>WEEKDAY(agg_orders_daily_revenue[[#This Row],[Order_Date]],2)</f>
        <v>3</v>
      </c>
      <c r="I116" t="str">
        <f>IF(OR(agg_orders_daily_revenue[[#This Row],[Weekday_Num]]=6, agg_orders_daily_revenue[[#This Row],[Weekday_Num]]=7), "Weekend", "Weekday")</f>
        <v>Weekday</v>
      </c>
      <c r="J116" t="str">
        <f>TEXT(agg_orders_daily_revenue[[#This Row],[Order_Date]], "ddd")</f>
        <v>Wed</v>
      </c>
    </row>
    <row r="117" spans="1:10" x14ac:dyDescent="0.4">
      <c r="A117" s="1">
        <v>45407</v>
      </c>
      <c r="B117">
        <v>518207</v>
      </c>
      <c r="C117">
        <v>515773.14</v>
      </c>
      <c r="D117">
        <v>407</v>
      </c>
      <c r="E117">
        <f>YEAR(agg_orders_daily_revenue[[#This Row],[Order_Date]])</f>
        <v>2024</v>
      </c>
      <c r="F117">
        <f>MONTH(agg_orders_daily_revenue[[#This Row],[Order_Date]])</f>
        <v>4</v>
      </c>
      <c r="G117" t="str">
        <f>TEXT(agg_orders_daily_revenue[[#This Row],[Order_Date]],"yyyy-mm")</f>
        <v>2024-04</v>
      </c>
      <c r="H117">
        <f>WEEKDAY(agg_orders_daily_revenue[[#This Row],[Order_Date]],2)</f>
        <v>4</v>
      </c>
      <c r="I117" t="str">
        <f>IF(OR(agg_orders_daily_revenue[[#This Row],[Weekday_Num]]=6, agg_orders_daily_revenue[[#This Row],[Weekday_Num]]=7), "Weekend", "Weekday")</f>
        <v>Weekday</v>
      </c>
      <c r="J117" t="str">
        <f>TEXT(agg_orders_daily_revenue[[#This Row],[Order_Date]], "ddd")</f>
        <v>Thu</v>
      </c>
    </row>
    <row r="118" spans="1:10" x14ac:dyDescent="0.4">
      <c r="A118" s="1">
        <v>45408</v>
      </c>
      <c r="B118">
        <v>512082</v>
      </c>
      <c r="C118">
        <v>517464.71</v>
      </c>
      <c r="D118">
        <v>397</v>
      </c>
      <c r="E118">
        <f>YEAR(agg_orders_daily_revenue[[#This Row],[Order_Date]])</f>
        <v>2024</v>
      </c>
      <c r="F118">
        <f>MONTH(agg_orders_daily_revenue[[#This Row],[Order_Date]])</f>
        <v>4</v>
      </c>
      <c r="G118" t="str">
        <f>TEXT(agg_orders_daily_revenue[[#This Row],[Order_Date]],"yyyy-mm")</f>
        <v>2024-04</v>
      </c>
      <c r="H118">
        <f>WEEKDAY(agg_orders_daily_revenue[[#This Row],[Order_Date]],2)</f>
        <v>5</v>
      </c>
      <c r="I118" t="str">
        <f>IF(OR(agg_orders_daily_revenue[[#This Row],[Weekday_Num]]=6, agg_orders_daily_revenue[[#This Row],[Weekday_Num]]=7), "Weekend", "Weekday")</f>
        <v>Weekday</v>
      </c>
      <c r="J118" t="str">
        <f>TEXT(agg_orders_daily_revenue[[#This Row],[Order_Date]], "ddd")</f>
        <v>Fri</v>
      </c>
    </row>
    <row r="119" spans="1:10" x14ac:dyDescent="0.4">
      <c r="A119" s="1">
        <v>45409</v>
      </c>
      <c r="B119">
        <v>500545</v>
      </c>
      <c r="C119">
        <v>514048</v>
      </c>
      <c r="D119">
        <v>411</v>
      </c>
      <c r="E119">
        <f>YEAR(agg_orders_daily_revenue[[#This Row],[Order_Date]])</f>
        <v>2024</v>
      </c>
      <c r="F119">
        <f>MONTH(agg_orders_daily_revenue[[#This Row],[Order_Date]])</f>
        <v>4</v>
      </c>
      <c r="G119" t="str">
        <f>TEXT(agg_orders_daily_revenue[[#This Row],[Order_Date]],"yyyy-mm")</f>
        <v>2024-04</v>
      </c>
      <c r="H119">
        <f>WEEKDAY(agg_orders_daily_revenue[[#This Row],[Order_Date]],2)</f>
        <v>6</v>
      </c>
      <c r="I119" t="str">
        <f>IF(OR(agg_orders_daily_revenue[[#This Row],[Weekday_Num]]=6, agg_orders_daily_revenue[[#This Row],[Weekday_Num]]=7), "Weekend", "Weekday")</f>
        <v>Weekend</v>
      </c>
      <c r="J119" t="str">
        <f>TEXT(agg_orders_daily_revenue[[#This Row],[Order_Date]], "ddd")</f>
        <v>Sat</v>
      </c>
    </row>
    <row r="120" spans="1:10" x14ac:dyDescent="0.4">
      <c r="A120" s="1">
        <v>45410</v>
      </c>
      <c r="B120">
        <v>439440</v>
      </c>
      <c r="C120">
        <v>503272.57</v>
      </c>
      <c r="D120">
        <v>364</v>
      </c>
      <c r="E120">
        <f>YEAR(agg_orders_daily_revenue[[#This Row],[Order_Date]])</f>
        <v>2024</v>
      </c>
      <c r="F120">
        <f>MONTH(agg_orders_daily_revenue[[#This Row],[Order_Date]])</f>
        <v>4</v>
      </c>
      <c r="G120" t="str">
        <f>TEXT(agg_orders_daily_revenue[[#This Row],[Order_Date]],"yyyy-mm")</f>
        <v>2024-04</v>
      </c>
      <c r="H120">
        <f>WEEKDAY(agg_orders_daily_revenue[[#This Row],[Order_Date]],2)</f>
        <v>7</v>
      </c>
      <c r="I120" t="str">
        <f>IF(OR(agg_orders_daily_revenue[[#This Row],[Weekday_Num]]=6, agg_orders_daily_revenue[[#This Row],[Weekday_Num]]=7), "Weekend", "Weekday")</f>
        <v>Weekend</v>
      </c>
      <c r="J120" t="str">
        <f>TEXT(agg_orders_daily_revenue[[#This Row],[Order_Date]], "ddd")</f>
        <v>Sun</v>
      </c>
    </row>
    <row r="121" spans="1:10" x14ac:dyDescent="0.4">
      <c r="A121" s="1">
        <v>45411</v>
      </c>
      <c r="B121">
        <v>527678</v>
      </c>
      <c r="C121">
        <v>505529.43</v>
      </c>
      <c r="D121">
        <v>412</v>
      </c>
      <c r="E121">
        <f>YEAR(agg_orders_daily_revenue[[#This Row],[Order_Date]])</f>
        <v>2024</v>
      </c>
      <c r="F121">
        <f>MONTH(agg_orders_daily_revenue[[#This Row],[Order_Date]])</f>
        <v>4</v>
      </c>
      <c r="G121" t="str">
        <f>TEXT(agg_orders_daily_revenue[[#This Row],[Order_Date]],"yyyy-mm")</f>
        <v>2024-04</v>
      </c>
      <c r="H121">
        <f>WEEKDAY(agg_orders_daily_revenue[[#This Row],[Order_Date]],2)</f>
        <v>1</v>
      </c>
      <c r="I121" t="str">
        <f>IF(OR(agg_orders_daily_revenue[[#This Row],[Weekday_Num]]=6, agg_orders_daily_revenue[[#This Row],[Weekday_Num]]=7), "Weekend", "Weekday")</f>
        <v>Weekday</v>
      </c>
      <c r="J121" t="str">
        <f>TEXT(agg_orders_daily_revenue[[#This Row],[Order_Date]], "ddd")</f>
        <v>Mon</v>
      </c>
    </row>
    <row r="122" spans="1:10" x14ac:dyDescent="0.4">
      <c r="A122" s="1">
        <v>45412</v>
      </c>
      <c r="B122">
        <v>480206</v>
      </c>
      <c r="C122">
        <v>496293.43</v>
      </c>
      <c r="D122">
        <v>384</v>
      </c>
      <c r="E122">
        <f>YEAR(agg_orders_daily_revenue[[#This Row],[Order_Date]])</f>
        <v>2024</v>
      </c>
      <c r="F122">
        <f>MONTH(agg_orders_daily_revenue[[#This Row],[Order_Date]])</f>
        <v>4</v>
      </c>
      <c r="G122" t="str">
        <f>TEXT(agg_orders_daily_revenue[[#This Row],[Order_Date]],"yyyy-mm")</f>
        <v>2024-04</v>
      </c>
      <c r="H122">
        <f>WEEKDAY(agg_orders_daily_revenue[[#This Row],[Order_Date]],2)</f>
        <v>2</v>
      </c>
      <c r="I122" t="str">
        <f>IF(OR(agg_orders_daily_revenue[[#This Row],[Weekday_Num]]=6, agg_orders_daily_revenue[[#This Row],[Weekday_Num]]=7), "Weekend", "Weekday")</f>
        <v>Weekday</v>
      </c>
      <c r="J122" t="str">
        <f>TEXT(agg_orders_daily_revenue[[#This Row],[Order_Date]], "ddd")</f>
        <v>Tue</v>
      </c>
    </row>
    <row r="123" spans="1:10" x14ac:dyDescent="0.4">
      <c r="A123" s="1">
        <v>45413</v>
      </c>
      <c r="B123">
        <v>482155</v>
      </c>
      <c r="C123">
        <v>494330.43</v>
      </c>
      <c r="D123">
        <v>392</v>
      </c>
      <c r="E123">
        <f>YEAR(agg_orders_daily_revenue[[#This Row],[Order_Date]])</f>
        <v>2024</v>
      </c>
      <c r="F123">
        <f>MONTH(agg_orders_daily_revenue[[#This Row],[Order_Date]])</f>
        <v>5</v>
      </c>
      <c r="G123" t="str">
        <f>TEXT(agg_orders_daily_revenue[[#This Row],[Order_Date]],"yyyy-mm")</f>
        <v>2024-05</v>
      </c>
      <c r="H123">
        <f>WEEKDAY(agg_orders_daily_revenue[[#This Row],[Order_Date]],2)</f>
        <v>3</v>
      </c>
      <c r="I123" t="str">
        <f>IF(OR(agg_orders_daily_revenue[[#This Row],[Weekday_Num]]=6, agg_orders_daily_revenue[[#This Row],[Weekday_Num]]=7), "Weekend", "Weekday")</f>
        <v>Weekday</v>
      </c>
      <c r="J123" t="str">
        <f>TEXT(agg_orders_daily_revenue[[#This Row],[Order_Date]], "ddd")</f>
        <v>Wed</v>
      </c>
    </row>
    <row r="124" spans="1:10" x14ac:dyDescent="0.4">
      <c r="A124" s="1">
        <v>45414</v>
      </c>
      <c r="B124">
        <v>572240</v>
      </c>
      <c r="C124">
        <v>502049.43</v>
      </c>
      <c r="D124">
        <v>458</v>
      </c>
      <c r="E124">
        <f>YEAR(agg_orders_daily_revenue[[#This Row],[Order_Date]])</f>
        <v>2024</v>
      </c>
      <c r="F124">
        <f>MONTH(agg_orders_daily_revenue[[#This Row],[Order_Date]])</f>
        <v>5</v>
      </c>
      <c r="G124" t="str">
        <f>TEXT(agg_orders_daily_revenue[[#This Row],[Order_Date]],"yyyy-mm")</f>
        <v>2024-05</v>
      </c>
      <c r="H124">
        <f>WEEKDAY(agg_orders_daily_revenue[[#This Row],[Order_Date]],2)</f>
        <v>4</v>
      </c>
      <c r="I124" t="str">
        <f>IF(OR(agg_orders_daily_revenue[[#This Row],[Weekday_Num]]=6, agg_orders_daily_revenue[[#This Row],[Weekday_Num]]=7), "Weekend", "Weekday")</f>
        <v>Weekday</v>
      </c>
      <c r="J124" t="str">
        <f>TEXT(agg_orders_daily_revenue[[#This Row],[Order_Date]], "ddd")</f>
        <v>Thu</v>
      </c>
    </row>
    <row r="125" spans="1:10" x14ac:dyDescent="0.4">
      <c r="A125" s="1">
        <v>45415</v>
      </c>
      <c r="B125">
        <v>481242</v>
      </c>
      <c r="C125">
        <v>497643.71</v>
      </c>
      <c r="D125">
        <v>398</v>
      </c>
      <c r="E125">
        <f>YEAR(agg_orders_daily_revenue[[#This Row],[Order_Date]])</f>
        <v>2024</v>
      </c>
      <c r="F125">
        <f>MONTH(agg_orders_daily_revenue[[#This Row],[Order_Date]])</f>
        <v>5</v>
      </c>
      <c r="G125" t="str">
        <f>TEXT(agg_orders_daily_revenue[[#This Row],[Order_Date]],"yyyy-mm")</f>
        <v>2024-05</v>
      </c>
      <c r="H125">
        <f>WEEKDAY(agg_orders_daily_revenue[[#This Row],[Order_Date]],2)</f>
        <v>5</v>
      </c>
      <c r="I125" t="str">
        <f>IF(OR(agg_orders_daily_revenue[[#This Row],[Weekday_Num]]=6, agg_orders_daily_revenue[[#This Row],[Weekday_Num]]=7), "Weekend", "Weekday")</f>
        <v>Weekday</v>
      </c>
      <c r="J125" t="str">
        <f>TEXT(agg_orders_daily_revenue[[#This Row],[Order_Date]], "ddd")</f>
        <v>Fri</v>
      </c>
    </row>
    <row r="126" spans="1:10" x14ac:dyDescent="0.4">
      <c r="A126" s="1">
        <v>45416</v>
      </c>
      <c r="B126">
        <v>526886</v>
      </c>
      <c r="C126">
        <v>501406.71</v>
      </c>
      <c r="D126">
        <v>414</v>
      </c>
      <c r="E126">
        <f>YEAR(agg_orders_daily_revenue[[#This Row],[Order_Date]])</f>
        <v>2024</v>
      </c>
      <c r="F126">
        <f>MONTH(agg_orders_daily_revenue[[#This Row],[Order_Date]])</f>
        <v>5</v>
      </c>
      <c r="G126" t="str">
        <f>TEXT(agg_orders_daily_revenue[[#This Row],[Order_Date]],"yyyy-mm")</f>
        <v>2024-05</v>
      </c>
      <c r="H126">
        <f>WEEKDAY(agg_orders_daily_revenue[[#This Row],[Order_Date]],2)</f>
        <v>6</v>
      </c>
      <c r="I126" t="str">
        <f>IF(OR(agg_orders_daily_revenue[[#This Row],[Weekday_Num]]=6, agg_orders_daily_revenue[[#This Row],[Weekday_Num]]=7), "Weekend", "Weekday")</f>
        <v>Weekend</v>
      </c>
      <c r="J126" t="str">
        <f>TEXT(agg_orders_daily_revenue[[#This Row],[Order_Date]], "ddd")</f>
        <v>Sat</v>
      </c>
    </row>
    <row r="127" spans="1:10" x14ac:dyDescent="0.4">
      <c r="A127" s="1">
        <v>45417</v>
      </c>
      <c r="B127">
        <v>497815</v>
      </c>
      <c r="C127">
        <v>509746</v>
      </c>
      <c r="D127">
        <v>402</v>
      </c>
      <c r="E127">
        <f>YEAR(agg_orders_daily_revenue[[#This Row],[Order_Date]])</f>
        <v>2024</v>
      </c>
      <c r="F127">
        <f>MONTH(agg_orders_daily_revenue[[#This Row],[Order_Date]])</f>
        <v>5</v>
      </c>
      <c r="G127" t="str">
        <f>TEXT(agg_orders_daily_revenue[[#This Row],[Order_Date]],"yyyy-mm")</f>
        <v>2024-05</v>
      </c>
      <c r="H127">
        <f>WEEKDAY(agg_orders_daily_revenue[[#This Row],[Order_Date]],2)</f>
        <v>7</v>
      </c>
      <c r="I127" t="str">
        <f>IF(OR(agg_orders_daily_revenue[[#This Row],[Weekday_Num]]=6, agg_orders_daily_revenue[[#This Row],[Weekday_Num]]=7), "Weekend", "Weekday")</f>
        <v>Weekend</v>
      </c>
      <c r="J127" t="str">
        <f>TEXT(agg_orders_daily_revenue[[#This Row],[Order_Date]], "ddd")</f>
        <v>Sun</v>
      </c>
    </row>
    <row r="128" spans="1:10" x14ac:dyDescent="0.4">
      <c r="A128" s="1">
        <v>45418</v>
      </c>
      <c r="B128">
        <v>496483</v>
      </c>
      <c r="C128">
        <v>505289.57</v>
      </c>
      <c r="D128">
        <v>390</v>
      </c>
      <c r="E128">
        <f>YEAR(agg_orders_daily_revenue[[#This Row],[Order_Date]])</f>
        <v>2024</v>
      </c>
      <c r="F128">
        <f>MONTH(agg_orders_daily_revenue[[#This Row],[Order_Date]])</f>
        <v>5</v>
      </c>
      <c r="G128" t="str">
        <f>TEXT(agg_orders_daily_revenue[[#This Row],[Order_Date]],"yyyy-mm")</f>
        <v>2024-05</v>
      </c>
      <c r="H128">
        <f>WEEKDAY(agg_orders_daily_revenue[[#This Row],[Order_Date]],2)</f>
        <v>1</v>
      </c>
      <c r="I128" t="str">
        <f>IF(OR(agg_orders_daily_revenue[[#This Row],[Weekday_Num]]=6, agg_orders_daily_revenue[[#This Row],[Weekday_Num]]=7), "Weekend", "Weekday")</f>
        <v>Weekday</v>
      </c>
      <c r="J128" t="str">
        <f>TEXT(agg_orders_daily_revenue[[#This Row],[Order_Date]], "ddd")</f>
        <v>Mon</v>
      </c>
    </row>
    <row r="129" spans="1:10" x14ac:dyDescent="0.4">
      <c r="A129" s="1">
        <v>45419</v>
      </c>
      <c r="B129">
        <v>502071</v>
      </c>
      <c r="C129">
        <v>508413.14</v>
      </c>
      <c r="D129">
        <v>412</v>
      </c>
      <c r="E129">
        <f>YEAR(agg_orders_daily_revenue[[#This Row],[Order_Date]])</f>
        <v>2024</v>
      </c>
      <c r="F129">
        <f>MONTH(agg_orders_daily_revenue[[#This Row],[Order_Date]])</f>
        <v>5</v>
      </c>
      <c r="G129" t="str">
        <f>TEXT(agg_orders_daily_revenue[[#This Row],[Order_Date]],"yyyy-mm")</f>
        <v>2024-05</v>
      </c>
      <c r="H129">
        <f>WEEKDAY(agg_orders_daily_revenue[[#This Row],[Order_Date]],2)</f>
        <v>2</v>
      </c>
      <c r="I129" t="str">
        <f>IF(OR(agg_orders_daily_revenue[[#This Row],[Weekday_Num]]=6, agg_orders_daily_revenue[[#This Row],[Weekday_Num]]=7), "Weekend", "Weekday")</f>
        <v>Weekday</v>
      </c>
      <c r="J129" t="str">
        <f>TEXT(agg_orders_daily_revenue[[#This Row],[Order_Date]], "ddd")</f>
        <v>Tue</v>
      </c>
    </row>
    <row r="130" spans="1:10" x14ac:dyDescent="0.4">
      <c r="A130" s="1">
        <v>45420</v>
      </c>
      <c r="B130">
        <v>442951</v>
      </c>
      <c r="C130">
        <v>502812.57</v>
      </c>
      <c r="D130">
        <v>371</v>
      </c>
      <c r="E130">
        <f>YEAR(agg_orders_daily_revenue[[#This Row],[Order_Date]])</f>
        <v>2024</v>
      </c>
      <c r="F130">
        <f>MONTH(agg_orders_daily_revenue[[#This Row],[Order_Date]])</f>
        <v>5</v>
      </c>
      <c r="G130" t="str">
        <f>TEXT(agg_orders_daily_revenue[[#This Row],[Order_Date]],"yyyy-mm")</f>
        <v>2024-05</v>
      </c>
      <c r="H130">
        <f>WEEKDAY(agg_orders_daily_revenue[[#This Row],[Order_Date]],2)</f>
        <v>3</v>
      </c>
      <c r="I130" t="str">
        <f>IF(OR(agg_orders_daily_revenue[[#This Row],[Weekday_Num]]=6, agg_orders_daily_revenue[[#This Row],[Weekday_Num]]=7), "Weekend", "Weekday")</f>
        <v>Weekday</v>
      </c>
      <c r="J130" t="str">
        <f>TEXT(agg_orders_daily_revenue[[#This Row],[Order_Date]], "ddd")</f>
        <v>Wed</v>
      </c>
    </row>
    <row r="131" spans="1:10" x14ac:dyDescent="0.4">
      <c r="A131" s="1">
        <v>45421</v>
      </c>
      <c r="B131">
        <v>515542</v>
      </c>
      <c r="C131">
        <v>494712.86</v>
      </c>
      <c r="D131">
        <v>409</v>
      </c>
      <c r="E131">
        <f>YEAR(agg_orders_daily_revenue[[#This Row],[Order_Date]])</f>
        <v>2024</v>
      </c>
      <c r="F131">
        <f>MONTH(agg_orders_daily_revenue[[#This Row],[Order_Date]])</f>
        <v>5</v>
      </c>
      <c r="G131" t="str">
        <f>TEXT(agg_orders_daily_revenue[[#This Row],[Order_Date]],"yyyy-mm")</f>
        <v>2024-05</v>
      </c>
      <c r="H131">
        <f>WEEKDAY(agg_orders_daily_revenue[[#This Row],[Order_Date]],2)</f>
        <v>4</v>
      </c>
      <c r="I131" t="str">
        <f>IF(OR(agg_orders_daily_revenue[[#This Row],[Weekday_Num]]=6, agg_orders_daily_revenue[[#This Row],[Weekday_Num]]=7), "Weekend", "Weekday")</f>
        <v>Weekday</v>
      </c>
      <c r="J131" t="str">
        <f>TEXT(agg_orders_daily_revenue[[#This Row],[Order_Date]], "ddd")</f>
        <v>Thu</v>
      </c>
    </row>
    <row r="132" spans="1:10" x14ac:dyDescent="0.4">
      <c r="A132" s="1">
        <v>45422</v>
      </c>
      <c r="B132">
        <v>530366</v>
      </c>
      <c r="C132">
        <v>501730.57</v>
      </c>
      <c r="D132">
        <v>435</v>
      </c>
      <c r="E132">
        <f>YEAR(agg_orders_daily_revenue[[#This Row],[Order_Date]])</f>
        <v>2024</v>
      </c>
      <c r="F132">
        <f>MONTH(agg_orders_daily_revenue[[#This Row],[Order_Date]])</f>
        <v>5</v>
      </c>
      <c r="G132" t="str">
        <f>TEXT(agg_orders_daily_revenue[[#This Row],[Order_Date]],"yyyy-mm")</f>
        <v>2024-05</v>
      </c>
      <c r="H132">
        <f>WEEKDAY(agg_orders_daily_revenue[[#This Row],[Order_Date]],2)</f>
        <v>5</v>
      </c>
      <c r="I132" t="str">
        <f>IF(OR(agg_orders_daily_revenue[[#This Row],[Weekday_Num]]=6, agg_orders_daily_revenue[[#This Row],[Weekday_Num]]=7), "Weekend", "Weekday")</f>
        <v>Weekday</v>
      </c>
      <c r="J132" t="str">
        <f>TEXT(agg_orders_daily_revenue[[#This Row],[Order_Date]], "ddd")</f>
        <v>Fri</v>
      </c>
    </row>
    <row r="133" spans="1:10" x14ac:dyDescent="0.4">
      <c r="A133" s="1">
        <v>45423</v>
      </c>
      <c r="B133">
        <v>503772</v>
      </c>
      <c r="C133">
        <v>498428.57</v>
      </c>
      <c r="D133">
        <v>412</v>
      </c>
      <c r="E133">
        <f>YEAR(agg_orders_daily_revenue[[#This Row],[Order_Date]])</f>
        <v>2024</v>
      </c>
      <c r="F133">
        <f>MONTH(agg_orders_daily_revenue[[#This Row],[Order_Date]])</f>
        <v>5</v>
      </c>
      <c r="G133" t="str">
        <f>TEXT(agg_orders_daily_revenue[[#This Row],[Order_Date]],"yyyy-mm")</f>
        <v>2024-05</v>
      </c>
      <c r="H133">
        <f>WEEKDAY(agg_orders_daily_revenue[[#This Row],[Order_Date]],2)</f>
        <v>6</v>
      </c>
      <c r="I133" t="str">
        <f>IF(OR(agg_orders_daily_revenue[[#This Row],[Weekday_Num]]=6, agg_orders_daily_revenue[[#This Row],[Weekday_Num]]=7), "Weekend", "Weekday")</f>
        <v>Weekend</v>
      </c>
      <c r="J133" t="str">
        <f>TEXT(agg_orders_daily_revenue[[#This Row],[Order_Date]], "ddd")</f>
        <v>Sat</v>
      </c>
    </row>
    <row r="134" spans="1:10" x14ac:dyDescent="0.4">
      <c r="A134" s="1">
        <v>45424</v>
      </c>
      <c r="B134">
        <v>492072</v>
      </c>
      <c r="C134">
        <v>497608.14</v>
      </c>
      <c r="D134">
        <v>382</v>
      </c>
      <c r="E134">
        <f>YEAR(agg_orders_daily_revenue[[#This Row],[Order_Date]])</f>
        <v>2024</v>
      </c>
      <c r="F134">
        <f>MONTH(agg_orders_daily_revenue[[#This Row],[Order_Date]])</f>
        <v>5</v>
      </c>
      <c r="G134" t="str">
        <f>TEXT(agg_orders_daily_revenue[[#This Row],[Order_Date]],"yyyy-mm")</f>
        <v>2024-05</v>
      </c>
      <c r="H134">
        <f>WEEKDAY(agg_orders_daily_revenue[[#This Row],[Order_Date]],2)</f>
        <v>7</v>
      </c>
      <c r="I134" t="str">
        <f>IF(OR(agg_orders_daily_revenue[[#This Row],[Weekday_Num]]=6, agg_orders_daily_revenue[[#This Row],[Weekday_Num]]=7), "Weekend", "Weekday")</f>
        <v>Weekend</v>
      </c>
      <c r="J134" t="str">
        <f>TEXT(agg_orders_daily_revenue[[#This Row],[Order_Date]], "ddd")</f>
        <v>Sun</v>
      </c>
    </row>
    <row r="135" spans="1:10" x14ac:dyDescent="0.4">
      <c r="A135" s="1">
        <v>45425</v>
      </c>
      <c r="B135">
        <v>566880</v>
      </c>
      <c r="C135">
        <v>507664.86</v>
      </c>
      <c r="D135">
        <v>446</v>
      </c>
      <c r="E135">
        <f>YEAR(agg_orders_daily_revenue[[#This Row],[Order_Date]])</f>
        <v>2024</v>
      </c>
      <c r="F135">
        <f>MONTH(agg_orders_daily_revenue[[#This Row],[Order_Date]])</f>
        <v>5</v>
      </c>
      <c r="G135" t="str">
        <f>TEXT(agg_orders_daily_revenue[[#This Row],[Order_Date]],"yyyy-mm")</f>
        <v>2024-05</v>
      </c>
      <c r="H135">
        <f>WEEKDAY(agg_orders_daily_revenue[[#This Row],[Order_Date]],2)</f>
        <v>1</v>
      </c>
      <c r="I135" t="str">
        <f>IF(OR(agg_orders_daily_revenue[[#This Row],[Weekday_Num]]=6, agg_orders_daily_revenue[[#This Row],[Weekday_Num]]=7), "Weekend", "Weekday")</f>
        <v>Weekday</v>
      </c>
      <c r="J135" t="str">
        <f>TEXT(agg_orders_daily_revenue[[#This Row],[Order_Date]], "ddd")</f>
        <v>Mon</v>
      </c>
    </row>
    <row r="136" spans="1:10" x14ac:dyDescent="0.4">
      <c r="A136" s="1">
        <v>45426</v>
      </c>
      <c r="B136">
        <v>536061</v>
      </c>
      <c r="C136">
        <v>512520.57</v>
      </c>
      <c r="D136">
        <v>432</v>
      </c>
      <c r="E136">
        <f>YEAR(agg_orders_daily_revenue[[#This Row],[Order_Date]])</f>
        <v>2024</v>
      </c>
      <c r="F136">
        <f>MONTH(agg_orders_daily_revenue[[#This Row],[Order_Date]])</f>
        <v>5</v>
      </c>
      <c r="G136" t="str">
        <f>TEXT(agg_orders_daily_revenue[[#This Row],[Order_Date]],"yyyy-mm")</f>
        <v>2024-05</v>
      </c>
      <c r="H136">
        <f>WEEKDAY(agg_orders_daily_revenue[[#This Row],[Order_Date]],2)</f>
        <v>2</v>
      </c>
      <c r="I136" t="str">
        <f>IF(OR(agg_orders_daily_revenue[[#This Row],[Weekday_Num]]=6, agg_orders_daily_revenue[[#This Row],[Weekday_Num]]=7), "Weekend", "Weekday")</f>
        <v>Weekday</v>
      </c>
      <c r="J136" t="str">
        <f>TEXT(agg_orders_daily_revenue[[#This Row],[Order_Date]], "ddd")</f>
        <v>Tue</v>
      </c>
    </row>
    <row r="137" spans="1:10" x14ac:dyDescent="0.4">
      <c r="A137" s="1">
        <v>45427</v>
      </c>
      <c r="B137">
        <v>547033</v>
      </c>
      <c r="C137">
        <v>527389.43000000005</v>
      </c>
      <c r="D137">
        <v>417</v>
      </c>
      <c r="E137">
        <f>YEAR(agg_orders_daily_revenue[[#This Row],[Order_Date]])</f>
        <v>2024</v>
      </c>
      <c r="F137">
        <f>MONTH(agg_orders_daily_revenue[[#This Row],[Order_Date]])</f>
        <v>5</v>
      </c>
      <c r="G137" t="str">
        <f>TEXT(agg_orders_daily_revenue[[#This Row],[Order_Date]],"yyyy-mm")</f>
        <v>2024-05</v>
      </c>
      <c r="H137">
        <f>WEEKDAY(agg_orders_daily_revenue[[#This Row],[Order_Date]],2)</f>
        <v>3</v>
      </c>
      <c r="I137" t="str">
        <f>IF(OR(agg_orders_daily_revenue[[#This Row],[Weekday_Num]]=6, agg_orders_daily_revenue[[#This Row],[Weekday_Num]]=7), "Weekend", "Weekday")</f>
        <v>Weekday</v>
      </c>
      <c r="J137" t="str">
        <f>TEXT(agg_orders_daily_revenue[[#This Row],[Order_Date]], "ddd")</f>
        <v>Wed</v>
      </c>
    </row>
    <row r="138" spans="1:10" x14ac:dyDescent="0.4">
      <c r="A138" s="1">
        <v>45428</v>
      </c>
      <c r="B138">
        <v>547468</v>
      </c>
      <c r="C138">
        <v>531950.29</v>
      </c>
      <c r="D138">
        <v>439</v>
      </c>
      <c r="E138">
        <f>YEAR(agg_orders_daily_revenue[[#This Row],[Order_Date]])</f>
        <v>2024</v>
      </c>
      <c r="F138">
        <f>MONTH(agg_orders_daily_revenue[[#This Row],[Order_Date]])</f>
        <v>5</v>
      </c>
      <c r="G138" t="str">
        <f>TEXT(agg_orders_daily_revenue[[#This Row],[Order_Date]],"yyyy-mm")</f>
        <v>2024-05</v>
      </c>
      <c r="H138">
        <f>WEEKDAY(agg_orders_daily_revenue[[#This Row],[Order_Date]],2)</f>
        <v>4</v>
      </c>
      <c r="I138" t="str">
        <f>IF(OR(agg_orders_daily_revenue[[#This Row],[Weekday_Num]]=6, agg_orders_daily_revenue[[#This Row],[Weekday_Num]]=7), "Weekend", "Weekday")</f>
        <v>Weekday</v>
      </c>
      <c r="J138" t="str">
        <f>TEXT(agg_orders_daily_revenue[[#This Row],[Order_Date]], "ddd")</f>
        <v>Thu</v>
      </c>
    </row>
    <row r="139" spans="1:10" x14ac:dyDescent="0.4">
      <c r="A139" s="1">
        <v>45429</v>
      </c>
      <c r="B139">
        <v>517536</v>
      </c>
      <c r="C139">
        <v>530117.43000000005</v>
      </c>
      <c r="D139">
        <v>435</v>
      </c>
      <c r="E139">
        <f>YEAR(agg_orders_daily_revenue[[#This Row],[Order_Date]])</f>
        <v>2024</v>
      </c>
      <c r="F139">
        <f>MONTH(agg_orders_daily_revenue[[#This Row],[Order_Date]])</f>
        <v>5</v>
      </c>
      <c r="G139" t="str">
        <f>TEXT(agg_orders_daily_revenue[[#This Row],[Order_Date]],"yyyy-mm")</f>
        <v>2024-05</v>
      </c>
      <c r="H139">
        <f>WEEKDAY(agg_orders_daily_revenue[[#This Row],[Order_Date]],2)</f>
        <v>5</v>
      </c>
      <c r="I139" t="str">
        <f>IF(OR(agg_orders_daily_revenue[[#This Row],[Weekday_Num]]=6, agg_orders_daily_revenue[[#This Row],[Weekday_Num]]=7), "Weekend", "Weekday")</f>
        <v>Weekday</v>
      </c>
      <c r="J139" t="str">
        <f>TEXT(agg_orders_daily_revenue[[#This Row],[Order_Date]], "ddd")</f>
        <v>Fri</v>
      </c>
    </row>
    <row r="140" spans="1:10" x14ac:dyDescent="0.4">
      <c r="A140" s="1">
        <v>45430</v>
      </c>
      <c r="B140">
        <v>491655</v>
      </c>
      <c r="C140">
        <v>528386.43000000005</v>
      </c>
      <c r="D140">
        <v>391</v>
      </c>
      <c r="E140">
        <f>YEAR(agg_orders_daily_revenue[[#This Row],[Order_Date]])</f>
        <v>2024</v>
      </c>
      <c r="F140">
        <f>MONTH(agg_orders_daily_revenue[[#This Row],[Order_Date]])</f>
        <v>5</v>
      </c>
      <c r="G140" t="str">
        <f>TEXT(agg_orders_daily_revenue[[#This Row],[Order_Date]],"yyyy-mm")</f>
        <v>2024-05</v>
      </c>
      <c r="H140">
        <f>WEEKDAY(agg_orders_daily_revenue[[#This Row],[Order_Date]],2)</f>
        <v>6</v>
      </c>
      <c r="I140" t="str">
        <f>IF(OR(agg_orders_daily_revenue[[#This Row],[Weekday_Num]]=6, agg_orders_daily_revenue[[#This Row],[Weekday_Num]]=7), "Weekend", "Weekday")</f>
        <v>Weekend</v>
      </c>
      <c r="J140" t="str">
        <f>TEXT(agg_orders_daily_revenue[[#This Row],[Order_Date]], "ddd")</f>
        <v>Sat</v>
      </c>
    </row>
    <row r="141" spans="1:10" x14ac:dyDescent="0.4">
      <c r="A141" s="1">
        <v>45431</v>
      </c>
      <c r="B141">
        <v>474581</v>
      </c>
      <c r="C141">
        <v>525887.71</v>
      </c>
      <c r="D141">
        <v>398</v>
      </c>
      <c r="E141">
        <f>YEAR(agg_orders_daily_revenue[[#This Row],[Order_Date]])</f>
        <v>2024</v>
      </c>
      <c r="F141">
        <f>MONTH(agg_orders_daily_revenue[[#This Row],[Order_Date]])</f>
        <v>5</v>
      </c>
      <c r="G141" t="str">
        <f>TEXT(agg_orders_daily_revenue[[#This Row],[Order_Date]],"yyyy-mm")</f>
        <v>2024-05</v>
      </c>
      <c r="H141">
        <f>WEEKDAY(agg_orders_daily_revenue[[#This Row],[Order_Date]],2)</f>
        <v>7</v>
      </c>
      <c r="I141" t="str">
        <f>IF(OR(agg_orders_daily_revenue[[#This Row],[Weekday_Num]]=6, agg_orders_daily_revenue[[#This Row],[Weekday_Num]]=7), "Weekend", "Weekday")</f>
        <v>Weekend</v>
      </c>
      <c r="J141" t="str">
        <f>TEXT(agg_orders_daily_revenue[[#This Row],[Order_Date]], "ddd")</f>
        <v>Sun</v>
      </c>
    </row>
    <row r="142" spans="1:10" x14ac:dyDescent="0.4">
      <c r="A142" s="1">
        <v>45432</v>
      </c>
      <c r="B142">
        <v>522608</v>
      </c>
      <c r="C142">
        <v>519563.14</v>
      </c>
      <c r="D142">
        <v>428</v>
      </c>
      <c r="E142">
        <f>YEAR(agg_orders_daily_revenue[[#This Row],[Order_Date]])</f>
        <v>2024</v>
      </c>
      <c r="F142">
        <f>MONTH(agg_orders_daily_revenue[[#This Row],[Order_Date]])</f>
        <v>5</v>
      </c>
      <c r="G142" t="str">
        <f>TEXT(agg_orders_daily_revenue[[#This Row],[Order_Date]],"yyyy-mm")</f>
        <v>2024-05</v>
      </c>
      <c r="H142">
        <f>WEEKDAY(agg_orders_daily_revenue[[#This Row],[Order_Date]],2)</f>
        <v>1</v>
      </c>
      <c r="I142" t="str">
        <f>IF(OR(agg_orders_daily_revenue[[#This Row],[Weekday_Num]]=6, agg_orders_daily_revenue[[#This Row],[Weekday_Num]]=7), "Weekend", "Weekday")</f>
        <v>Weekday</v>
      </c>
      <c r="J142" t="str">
        <f>TEXT(agg_orders_daily_revenue[[#This Row],[Order_Date]], "ddd")</f>
        <v>Mon</v>
      </c>
    </row>
    <row r="143" spans="1:10" x14ac:dyDescent="0.4">
      <c r="A143" s="1">
        <v>45433</v>
      </c>
      <c r="B143">
        <v>517148</v>
      </c>
      <c r="C143">
        <v>516861.29</v>
      </c>
      <c r="D143">
        <v>423</v>
      </c>
      <c r="E143">
        <f>YEAR(agg_orders_daily_revenue[[#This Row],[Order_Date]])</f>
        <v>2024</v>
      </c>
      <c r="F143">
        <f>MONTH(agg_orders_daily_revenue[[#This Row],[Order_Date]])</f>
        <v>5</v>
      </c>
      <c r="G143" t="str">
        <f>TEXT(agg_orders_daily_revenue[[#This Row],[Order_Date]],"yyyy-mm")</f>
        <v>2024-05</v>
      </c>
      <c r="H143">
        <f>WEEKDAY(agg_orders_daily_revenue[[#This Row],[Order_Date]],2)</f>
        <v>2</v>
      </c>
      <c r="I143" t="str">
        <f>IF(OR(agg_orders_daily_revenue[[#This Row],[Weekday_Num]]=6, agg_orders_daily_revenue[[#This Row],[Weekday_Num]]=7), "Weekend", "Weekday")</f>
        <v>Weekday</v>
      </c>
      <c r="J143" t="str">
        <f>TEXT(agg_orders_daily_revenue[[#This Row],[Order_Date]], "ddd")</f>
        <v>Tue</v>
      </c>
    </row>
    <row r="144" spans="1:10" x14ac:dyDescent="0.4">
      <c r="A144" s="1">
        <v>45434</v>
      </c>
      <c r="B144">
        <v>471227</v>
      </c>
      <c r="C144">
        <v>506031.86</v>
      </c>
      <c r="D144">
        <v>381</v>
      </c>
      <c r="E144">
        <f>YEAR(agg_orders_daily_revenue[[#This Row],[Order_Date]])</f>
        <v>2024</v>
      </c>
      <c r="F144">
        <f>MONTH(agg_orders_daily_revenue[[#This Row],[Order_Date]])</f>
        <v>5</v>
      </c>
      <c r="G144" t="str">
        <f>TEXT(agg_orders_daily_revenue[[#This Row],[Order_Date]],"yyyy-mm")</f>
        <v>2024-05</v>
      </c>
      <c r="H144">
        <f>WEEKDAY(agg_orders_daily_revenue[[#This Row],[Order_Date]],2)</f>
        <v>3</v>
      </c>
      <c r="I144" t="str">
        <f>IF(OR(agg_orders_daily_revenue[[#This Row],[Weekday_Num]]=6, agg_orders_daily_revenue[[#This Row],[Weekday_Num]]=7), "Weekend", "Weekday")</f>
        <v>Weekday</v>
      </c>
      <c r="J144" t="str">
        <f>TEXT(agg_orders_daily_revenue[[#This Row],[Order_Date]], "ddd")</f>
        <v>Wed</v>
      </c>
    </row>
    <row r="145" spans="1:10" x14ac:dyDescent="0.4">
      <c r="A145" s="1">
        <v>45435</v>
      </c>
      <c r="B145">
        <v>505558</v>
      </c>
      <c r="C145">
        <v>500044.71</v>
      </c>
      <c r="D145">
        <v>418</v>
      </c>
      <c r="E145">
        <f>YEAR(agg_orders_daily_revenue[[#This Row],[Order_Date]])</f>
        <v>2024</v>
      </c>
      <c r="F145">
        <f>MONTH(agg_orders_daily_revenue[[#This Row],[Order_Date]])</f>
        <v>5</v>
      </c>
      <c r="G145" t="str">
        <f>TEXT(agg_orders_daily_revenue[[#This Row],[Order_Date]],"yyyy-mm")</f>
        <v>2024-05</v>
      </c>
      <c r="H145">
        <f>WEEKDAY(agg_orders_daily_revenue[[#This Row],[Order_Date]],2)</f>
        <v>4</v>
      </c>
      <c r="I145" t="str">
        <f>IF(OR(agg_orders_daily_revenue[[#This Row],[Weekday_Num]]=6, agg_orders_daily_revenue[[#This Row],[Weekday_Num]]=7), "Weekend", "Weekday")</f>
        <v>Weekday</v>
      </c>
      <c r="J145" t="str">
        <f>TEXT(agg_orders_daily_revenue[[#This Row],[Order_Date]], "ddd")</f>
        <v>Thu</v>
      </c>
    </row>
    <row r="146" spans="1:10" x14ac:dyDescent="0.4">
      <c r="A146" s="1">
        <v>45436</v>
      </c>
      <c r="B146">
        <v>468901</v>
      </c>
      <c r="C146">
        <v>493096.86</v>
      </c>
      <c r="D146">
        <v>391</v>
      </c>
      <c r="E146">
        <f>YEAR(agg_orders_daily_revenue[[#This Row],[Order_Date]])</f>
        <v>2024</v>
      </c>
      <c r="F146">
        <f>MONTH(agg_orders_daily_revenue[[#This Row],[Order_Date]])</f>
        <v>5</v>
      </c>
      <c r="G146" t="str">
        <f>TEXT(agg_orders_daily_revenue[[#This Row],[Order_Date]],"yyyy-mm")</f>
        <v>2024-05</v>
      </c>
      <c r="H146">
        <f>WEEKDAY(agg_orders_daily_revenue[[#This Row],[Order_Date]],2)</f>
        <v>5</v>
      </c>
      <c r="I146" t="str">
        <f>IF(OR(agg_orders_daily_revenue[[#This Row],[Weekday_Num]]=6, agg_orders_daily_revenue[[#This Row],[Weekday_Num]]=7), "Weekend", "Weekday")</f>
        <v>Weekday</v>
      </c>
      <c r="J146" t="str">
        <f>TEXT(agg_orders_daily_revenue[[#This Row],[Order_Date]], "ddd")</f>
        <v>Fri</v>
      </c>
    </row>
    <row r="147" spans="1:10" x14ac:dyDescent="0.4">
      <c r="A147" s="1">
        <v>45437</v>
      </c>
      <c r="B147">
        <v>440138</v>
      </c>
      <c r="C147">
        <v>485737.29</v>
      </c>
      <c r="D147">
        <v>377</v>
      </c>
      <c r="E147">
        <f>YEAR(agg_orders_daily_revenue[[#This Row],[Order_Date]])</f>
        <v>2024</v>
      </c>
      <c r="F147">
        <f>MONTH(agg_orders_daily_revenue[[#This Row],[Order_Date]])</f>
        <v>5</v>
      </c>
      <c r="G147" t="str">
        <f>TEXT(agg_orders_daily_revenue[[#This Row],[Order_Date]],"yyyy-mm")</f>
        <v>2024-05</v>
      </c>
      <c r="H147">
        <f>WEEKDAY(agg_orders_daily_revenue[[#This Row],[Order_Date]],2)</f>
        <v>6</v>
      </c>
      <c r="I147" t="str">
        <f>IF(OR(agg_orders_daily_revenue[[#This Row],[Weekday_Num]]=6, agg_orders_daily_revenue[[#This Row],[Weekday_Num]]=7), "Weekend", "Weekday")</f>
        <v>Weekend</v>
      </c>
      <c r="J147" t="str">
        <f>TEXT(agg_orders_daily_revenue[[#This Row],[Order_Date]], "ddd")</f>
        <v>Sat</v>
      </c>
    </row>
    <row r="148" spans="1:10" x14ac:dyDescent="0.4">
      <c r="A148" s="1">
        <v>45438</v>
      </c>
      <c r="B148">
        <v>499145</v>
      </c>
      <c r="C148">
        <v>489246.43</v>
      </c>
      <c r="D148">
        <v>399</v>
      </c>
      <c r="E148">
        <f>YEAR(agg_orders_daily_revenue[[#This Row],[Order_Date]])</f>
        <v>2024</v>
      </c>
      <c r="F148">
        <f>MONTH(agg_orders_daily_revenue[[#This Row],[Order_Date]])</f>
        <v>5</v>
      </c>
      <c r="G148" t="str">
        <f>TEXT(agg_orders_daily_revenue[[#This Row],[Order_Date]],"yyyy-mm")</f>
        <v>2024-05</v>
      </c>
      <c r="H148">
        <f>WEEKDAY(agg_orders_daily_revenue[[#This Row],[Order_Date]],2)</f>
        <v>7</v>
      </c>
      <c r="I148" t="str">
        <f>IF(OR(agg_orders_daily_revenue[[#This Row],[Weekday_Num]]=6, agg_orders_daily_revenue[[#This Row],[Weekday_Num]]=7), "Weekend", "Weekday")</f>
        <v>Weekend</v>
      </c>
      <c r="J148" t="str">
        <f>TEXT(agg_orders_daily_revenue[[#This Row],[Order_Date]], "ddd")</f>
        <v>Sun</v>
      </c>
    </row>
    <row r="149" spans="1:10" x14ac:dyDescent="0.4">
      <c r="A149" s="1">
        <v>45439</v>
      </c>
      <c r="B149">
        <v>487657</v>
      </c>
      <c r="C149">
        <v>484253.43</v>
      </c>
      <c r="D149">
        <v>378</v>
      </c>
      <c r="E149">
        <f>YEAR(agg_orders_daily_revenue[[#This Row],[Order_Date]])</f>
        <v>2024</v>
      </c>
      <c r="F149">
        <f>MONTH(agg_orders_daily_revenue[[#This Row],[Order_Date]])</f>
        <v>5</v>
      </c>
      <c r="G149" t="str">
        <f>TEXT(agg_orders_daily_revenue[[#This Row],[Order_Date]],"yyyy-mm")</f>
        <v>2024-05</v>
      </c>
      <c r="H149">
        <f>WEEKDAY(agg_orders_daily_revenue[[#This Row],[Order_Date]],2)</f>
        <v>1</v>
      </c>
      <c r="I149" t="str">
        <f>IF(OR(agg_orders_daily_revenue[[#This Row],[Weekday_Num]]=6, agg_orders_daily_revenue[[#This Row],[Weekday_Num]]=7), "Weekend", "Weekday")</f>
        <v>Weekday</v>
      </c>
      <c r="J149" t="str">
        <f>TEXT(agg_orders_daily_revenue[[#This Row],[Order_Date]], "ddd")</f>
        <v>Mon</v>
      </c>
    </row>
    <row r="150" spans="1:10" x14ac:dyDescent="0.4">
      <c r="A150" s="1">
        <v>45440</v>
      </c>
      <c r="B150">
        <v>521366</v>
      </c>
      <c r="C150">
        <v>484856</v>
      </c>
      <c r="D150">
        <v>423</v>
      </c>
      <c r="E150">
        <f>YEAR(agg_orders_daily_revenue[[#This Row],[Order_Date]])</f>
        <v>2024</v>
      </c>
      <c r="F150">
        <f>MONTH(agg_orders_daily_revenue[[#This Row],[Order_Date]])</f>
        <v>5</v>
      </c>
      <c r="G150" t="str">
        <f>TEXT(agg_orders_daily_revenue[[#This Row],[Order_Date]],"yyyy-mm")</f>
        <v>2024-05</v>
      </c>
      <c r="H150">
        <f>WEEKDAY(agg_orders_daily_revenue[[#This Row],[Order_Date]],2)</f>
        <v>2</v>
      </c>
      <c r="I150" t="str">
        <f>IF(OR(agg_orders_daily_revenue[[#This Row],[Weekday_Num]]=6, agg_orders_daily_revenue[[#This Row],[Weekday_Num]]=7), "Weekend", "Weekday")</f>
        <v>Weekday</v>
      </c>
      <c r="J150" t="str">
        <f>TEXT(agg_orders_daily_revenue[[#This Row],[Order_Date]], "ddd")</f>
        <v>Tue</v>
      </c>
    </row>
    <row r="151" spans="1:10" x14ac:dyDescent="0.4">
      <c r="A151" s="1">
        <v>45441</v>
      </c>
      <c r="B151">
        <v>498206</v>
      </c>
      <c r="C151">
        <v>488710.14</v>
      </c>
      <c r="D151">
        <v>406</v>
      </c>
      <c r="E151">
        <f>YEAR(agg_orders_daily_revenue[[#This Row],[Order_Date]])</f>
        <v>2024</v>
      </c>
      <c r="F151">
        <f>MONTH(agg_orders_daily_revenue[[#This Row],[Order_Date]])</f>
        <v>5</v>
      </c>
      <c r="G151" t="str">
        <f>TEXT(agg_orders_daily_revenue[[#This Row],[Order_Date]],"yyyy-mm")</f>
        <v>2024-05</v>
      </c>
      <c r="H151">
        <f>WEEKDAY(agg_orders_daily_revenue[[#This Row],[Order_Date]],2)</f>
        <v>3</v>
      </c>
      <c r="I151" t="str">
        <f>IF(OR(agg_orders_daily_revenue[[#This Row],[Weekday_Num]]=6, agg_orders_daily_revenue[[#This Row],[Weekday_Num]]=7), "Weekend", "Weekday")</f>
        <v>Weekday</v>
      </c>
      <c r="J151" t="str">
        <f>TEXT(agg_orders_daily_revenue[[#This Row],[Order_Date]], "ddd")</f>
        <v>Wed</v>
      </c>
    </row>
    <row r="152" spans="1:10" x14ac:dyDescent="0.4">
      <c r="A152" s="1">
        <v>45442</v>
      </c>
      <c r="B152">
        <v>558927</v>
      </c>
      <c r="C152">
        <v>496334.29</v>
      </c>
      <c r="D152">
        <v>446</v>
      </c>
      <c r="E152">
        <f>YEAR(agg_orders_daily_revenue[[#This Row],[Order_Date]])</f>
        <v>2024</v>
      </c>
      <c r="F152">
        <f>MONTH(agg_orders_daily_revenue[[#This Row],[Order_Date]])</f>
        <v>5</v>
      </c>
      <c r="G152" t="str">
        <f>TEXT(agg_orders_daily_revenue[[#This Row],[Order_Date]],"yyyy-mm")</f>
        <v>2024-05</v>
      </c>
      <c r="H152">
        <f>WEEKDAY(agg_orders_daily_revenue[[#This Row],[Order_Date]],2)</f>
        <v>4</v>
      </c>
      <c r="I152" t="str">
        <f>IF(OR(agg_orders_daily_revenue[[#This Row],[Weekday_Num]]=6, agg_orders_daily_revenue[[#This Row],[Weekday_Num]]=7), "Weekend", "Weekday")</f>
        <v>Weekday</v>
      </c>
      <c r="J152" t="str">
        <f>TEXT(agg_orders_daily_revenue[[#This Row],[Order_Date]], "ddd")</f>
        <v>Thu</v>
      </c>
    </row>
    <row r="153" spans="1:10" x14ac:dyDescent="0.4">
      <c r="A153" s="1">
        <v>45443</v>
      </c>
      <c r="B153">
        <v>510497</v>
      </c>
      <c r="C153">
        <v>502276.57</v>
      </c>
      <c r="D153">
        <v>402</v>
      </c>
      <c r="E153">
        <f>YEAR(agg_orders_daily_revenue[[#This Row],[Order_Date]])</f>
        <v>2024</v>
      </c>
      <c r="F153">
        <f>MONTH(agg_orders_daily_revenue[[#This Row],[Order_Date]])</f>
        <v>5</v>
      </c>
      <c r="G153" t="str">
        <f>TEXT(agg_orders_daily_revenue[[#This Row],[Order_Date]],"yyyy-mm")</f>
        <v>2024-05</v>
      </c>
      <c r="H153">
        <f>WEEKDAY(agg_orders_daily_revenue[[#This Row],[Order_Date]],2)</f>
        <v>5</v>
      </c>
      <c r="I153" t="str">
        <f>IF(OR(agg_orders_daily_revenue[[#This Row],[Weekday_Num]]=6, agg_orders_daily_revenue[[#This Row],[Weekday_Num]]=7), "Weekend", "Weekday")</f>
        <v>Weekday</v>
      </c>
      <c r="J153" t="str">
        <f>TEXT(agg_orders_daily_revenue[[#This Row],[Order_Date]], "ddd")</f>
        <v>Fri</v>
      </c>
    </row>
    <row r="154" spans="1:10" x14ac:dyDescent="0.4">
      <c r="A154" s="1">
        <v>45444</v>
      </c>
      <c r="B154">
        <v>499050</v>
      </c>
      <c r="C154">
        <v>510692.57</v>
      </c>
      <c r="D154">
        <v>409</v>
      </c>
      <c r="E154">
        <f>YEAR(agg_orders_daily_revenue[[#This Row],[Order_Date]])</f>
        <v>2024</v>
      </c>
      <c r="F154">
        <f>MONTH(agg_orders_daily_revenue[[#This Row],[Order_Date]])</f>
        <v>6</v>
      </c>
      <c r="G154" t="str">
        <f>TEXT(agg_orders_daily_revenue[[#This Row],[Order_Date]],"yyyy-mm")</f>
        <v>2024-06</v>
      </c>
      <c r="H154">
        <f>WEEKDAY(agg_orders_daily_revenue[[#This Row],[Order_Date]],2)</f>
        <v>6</v>
      </c>
      <c r="I154" t="str">
        <f>IF(OR(agg_orders_daily_revenue[[#This Row],[Weekday_Num]]=6, agg_orders_daily_revenue[[#This Row],[Weekday_Num]]=7), "Weekend", "Weekday")</f>
        <v>Weekend</v>
      </c>
      <c r="J154" t="str">
        <f>TEXT(agg_orders_daily_revenue[[#This Row],[Order_Date]], "ddd")</f>
        <v>Sat</v>
      </c>
    </row>
    <row r="155" spans="1:10" x14ac:dyDescent="0.4">
      <c r="A155" s="1">
        <v>45445</v>
      </c>
      <c r="B155">
        <v>498688</v>
      </c>
      <c r="C155">
        <v>510627.29</v>
      </c>
      <c r="D155">
        <v>409</v>
      </c>
      <c r="E155">
        <f>YEAR(agg_orders_daily_revenue[[#This Row],[Order_Date]])</f>
        <v>2024</v>
      </c>
      <c r="F155">
        <f>MONTH(agg_orders_daily_revenue[[#This Row],[Order_Date]])</f>
        <v>6</v>
      </c>
      <c r="G155" t="str">
        <f>TEXT(agg_orders_daily_revenue[[#This Row],[Order_Date]],"yyyy-mm")</f>
        <v>2024-06</v>
      </c>
      <c r="H155">
        <f>WEEKDAY(agg_orders_daily_revenue[[#This Row],[Order_Date]],2)</f>
        <v>7</v>
      </c>
      <c r="I155" t="str">
        <f>IF(OR(agg_orders_daily_revenue[[#This Row],[Weekday_Num]]=6, agg_orders_daily_revenue[[#This Row],[Weekday_Num]]=7), "Weekend", "Weekday")</f>
        <v>Weekend</v>
      </c>
      <c r="J155" t="str">
        <f>TEXT(agg_orders_daily_revenue[[#This Row],[Order_Date]], "ddd")</f>
        <v>Sun</v>
      </c>
    </row>
    <row r="156" spans="1:10" x14ac:dyDescent="0.4">
      <c r="A156" s="1">
        <v>45446</v>
      </c>
      <c r="B156">
        <v>476779</v>
      </c>
      <c r="C156">
        <v>509073.29</v>
      </c>
      <c r="D156">
        <v>375</v>
      </c>
      <c r="E156">
        <f>YEAR(agg_orders_daily_revenue[[#This Row],[Order_Date]])</f>
        <v>2024</v>
      </c>
      <c r="F156">
        <f>MONTH(agg_orders_daily_revenue[[#This Row],[Order_Date]])</f>
        <v>6</v>
      </c>
      <c r="G156" t="str">
        <f>TEXT(agg_orders_daily_revenue[[#This Row],[Order_Date]],"yyyy-mm")</f>
        <v>2024-06</v>
      </c>
      <c r="H156">
        <f>WEEKDAY(agg_orders_daily_revenue[[#This Row],[Order_Date]],2)</f>
        <v>1</v>
      </c>
      <c r="I156" t="str">
        <f>IF(OR(agg_orders_daily_revenue[[#This Row],[Weekday_Num]]=6, agg_orders_daily_revenue[[#This Row],[Weekday_Num]]=7), "Weekend", "Weekday")</f>
        <v>Weekday</v>
      </c>
      <c r="J156" t="str">
        <f>TEXT(agg_orders_daily_revenue[[#This Row],[Order_Date]], "ddd")</f>
        <v>Mon</v>
      </c>
    </row>
    <row r="157" spans="1:10" x14ac:dyDescent="0.4">
      <c r="A157" s="1">
        <v>45447</v>
      </c>
      <c r="B157">
        <v>530771</v>
      </c>
      <c r="C157">
        <v>510416.86</v>
      </c>
      <c r="D157">
        <v>425</v>
      </c>
      <c r="E157">
        <f>YEAR(agg_orders_daily_revenue[[#This Row],[Order_Date]])</f>
        <v>2024</v>
      </c>
      <c r="F157">
        <f>MONTH(agg_orders_daily_revenue[[#This Row],[Order_Date]])</f>
        <v>6</v>
      </c>
      <c r="G157" t="str">
        <f>TEXT(agg_orders_daily_revenue[[#This Row],[Order_Date]],"yyyy-mm")</f>
        <v>2024-06</v>
      </c>
      <c r="H157">
        <f>WEEKDAY(agg_orders_daily_revenue[[#This Row],[Order_Date]],2)</f>
        <v>2</v>
      </c>
      <c r="I157" t="str">
        <f>IF(OR(agg_orders_daily_revenue[[#This Row],[Weekday_Num]]=6, agg_orders_daily_revenue[[#This Row],[Weekday_Num]]=7), "Weekend", "Weekday")</f>
        <v>Weekday</v>
      </c>
      <c r="J157" t="str">
        <f>TEXT(agg_orders_daily_revenue[[#This Row],[Order_Date]], "ddd")</f>
        <v>Tue</v>
      </c>
    </row>
    <row r="158" spans="1:10" x14ac:dyDescent="0.4">
      <c r="A158" s="1">
        <v>45448</v>
      </c>
      <c r="B158">
        <v>472949</v>
      </c>
      <c r="C158">
        <v>506808.71</v>
      </c>
      <c r="D158">
        <v>376</v>
      </c>
      <c r="E158">
        <f>YEAR(agg_orders_daily_revenue[[#This Row],[Order_Date]])</f>
        <v>2024</v>
      </c>
      <c r="F158">
        <f>MONTH(agg_orders_daily_revenue[[#This Row],[Order_Date]])</f>
        <v>6</v>
      </c>
      <c r="G158" t="str">
        <f>TEXT(agg_orders_daily_revenue[[#This Row],[Order_Date]],"yyyy-mm")</f>
        <v>2024-06</v>
      </c>
      <c r="H158">
        <f>WEEKDAY(agg_orders_daily_revenue[[#This Row],[Order_Date]],2)</f>
        <v>3</v>
      </c>
      <c r="I158" t="str">
        <f>IF(OR(agg_orders_daily_revenue[[#This Row],[Weekday_Num]]=6, agg_orders_daily_revenue[[#This Row],[Weekday_Num]]=7), "Weekend", "Weekday")</f>
        <v>Weekday</v>
      </c>
      <c r="J158" t="str">
        <f>TEXT(agg_orders_daily_revenue[[#This Row],[Order_Date]], "ddd")</f>
        <v>Wed</v>
      </c>
    </row>
    <row r="159" spans="1:10" x14ac:dyDescent="0.4">
      <c r="A159" s="1">
        <v>45449</v>
      </c>
      <c r="B159">
        <v>524844</v>
      </c>
      <c r="C159">
        <v>501939.71</v>
      </c>
      <c r="D159">
        <v>403</v>
      </c>
      <c r="E159">
        <f>YEAR(agg_orders_daily_revenue[[#This Row],[Order_Date]])</f>
        <v>2024</v>
      </c>
      <c r="F159">
        <f>MONTH(agg_orders_daily_revenue[[#This Row],[Order_Date]])</f>
        <v>6</v>
      </c>
      <c r="G159" t="str">
        <f>TEXT(agg_orders_daily_revenue[[#This Row],[Order_Date]],"yyyy-mm")</f>
        <v>2024-06</v>
      </c>
      <c r="H159">
        <f>WEEKDAY(agg_orders_daily_revenue[[#This Row],[Order_Date]],2)</f>
        <v>4</v>
      </c>
      <c r="I159" t="str">
        <f>IF(OR(agg_orders_daily_revenue[[#This Row],[Weekday_Num]]=6, agg_orders_daily_revenue[[#This Row],[Weekday_Num]]=7), "Weekend", "Weekday")</f>
        <v>Weekday</v>
      </c>
      <c r="J159" t="str">
        <f>TEXT(agg_orders_daily_revenue[[#This Row],[Order_Date]], "ddd")</f>
        <v>Thu</v>
      </c>
    </row>
    <row r="160" spans="1:10" x14ac:dyDescent="0.4">
      <c r="A160" s="1">
        <v>45450</v>
      </c>
      <c r="B160">
        <v>428780</v>
      </c>
      <c r="C160">
        <v>490265.86</v>
      </c>
      <c r="D160">
        <v>370</v>
      </c>
      <c r="E160">
        <f>YEAR(agg_orders_daily_revenue[[#This Row],[Order_Date]])</f>
        <v>2024</v>
      </c>
      <c r="F160">
        <f>MONTH(agg_orders_daily_revenue[[#This Row],[Order_Date]])</f>
        <v>6</v>
      </c>
      <c r="G160" t="str">
        <f>TEXT(agg_orders_daily_revenue[[#This Row],[Order_Date]],"yyyy-mm")</f>
        <v>2024-06</v>
      </c>
      <c r="H160">
        <f>WEEKDAY(agg_orders_daily_revenue[[#This Row],[Order_Date]],2)</f>
        <v>5</v>
      </c>
      <c r="I160" t="str">
        <f>IF(OR(agg_orders_daily_revenue[[#This Row],[Weekday_Num]]=6, agg_orders_daily_revenue[[#This Row],[Weekday_Num]]=7), "Weekend", "Weekday")</f>
        <v>Weekday</v>
      </c>
      <c r="J160" t="str">
        <f>TEXT(agg_orders_daily_revenue[[#This Row],[Order_Date]], "ddd")</f>
        <v>Fri</v>
      </c>
    </row>
    <row r="161" spans="1:10" x14ac:dyDescent="0.4">
      <c r="A161" s="1">
        <v>45451</v>
      </c>
      <c r="B161">
        <v>538741</v>
      </c>
      <c r="C161">
        <v>495936</v>
      </c>
      <c r="D161">
        <v>413</v>
      </c>
      <c r="E161">
        <f>YEAR(agg_orders_daily_revenue[[#This Row],[Order_Date]])</f>
        <v>2024</v>
      </c>
      <c r="F161">
        <f>MONTH(agg_orders_daily_revenue[[#This Row],[Order_Date]])</f>
        <v>6</v>
      </c>
      <c r="G161" t="str">
        <f>TEXT(agg_orders_daily_revenue[[#This Row],[Order_Date]],"yyyy-mm")</f>
        <v>2024-06</v>
      </c>
      <c r="H161">
        <f>WEEKDAY(agg_orders_daily_revenue[[#This Row],[Order_Date]],2)</f>
        <v>6</v>
      </c>
      <c r="I161" t="str">
        <f>IF(OR(agg_orders_daily_revenue[[#This Row],[Weekday_Num]]=6, agg_orders_daily_revenue[[#This Row],[Weekday_Num]]=7), "Weekend", "Weekday")</f>
        <v>Weekend</v>
      </c>
      <c r="J161" t="str">
        <f>TEXT(agg_orders_daily_revenue[[#This Row],[Order_Date]], "ddd")</f>
        <v>Sat</v>
      </c>
    </row>
    <row r="162" spans="1:10" x14ac:dyDescent="0.4">
      <c r="A162" s="1">
        <v>45452</v>
      </c>
      <c r="B162">
        <v>512543</v>
      </c>
      <c r="C162">
        <v>497915.29</v>
      </c>
      <c r="D162">
        <v>412</v>
      </c>
      <c r="E162">
        <f>YEAR(agg_orders_daily_revenue[[#This Row],[Order_Date]])</f>
        <v>2024</v>
      </c>
      <c r="F162">
        <f>MONTH(agg_orders_daily_revenue[[#This Row],[Order_Date]])</f>
        <v>6</v>
      </c>
      <c r="G162" t="str">
        <f>TEXT(agg_orders_daily_revenue[[#This Row],[Order_Date]],"yyyy-mm")</f>
        <v>2024-06</v>
      </c>
      <c r="H162">
        <f>WEEKDAY(agg_orders_daily_revenue[[#This Row],[Order_Date]],2)</f>
        <v>7</v>
      </c>
      <c r="I162" t="str">
        <f>IF(OR(agg_orders_daily_revenue[[#This Row],[Weekday_Num]]=6, agg_orders_daily_revenue[[#This Row],[Weekday_Num]]=7), "Weekend", "Weekday")</f>
        <v>Weekend</v>
      </c>
      <c r="J162" t="str">
        <f>TEXT(agg_orders_daily_revenue[[#This Row],[Order_Date]], "ddd")</f>
        <v>Sun</v>
      </c>
    </row>
    <row r="163" spans="1:10" x14ac:dyDescent="0.4">
      <c r="A163" s="1">
        <v>45453</v>
      </c>
      <c r="B163">
        <v>512300</v>
      </c>
      <c r="C163">
        <v>502989.71</v>
      </c>
      <c r="D163">
        <v>402</v>
      </c>
      <c r="E163">
        <f>YEAR(agg_orders_daily_revenue[[#This Row],[Order_Date]])</f>
        <v>2024</v>
      </c>
      <c r="F163">
        <f>MONTH(agg_orders_daily_revenue[[#This Row],[Order_Date]])</f>
        <v>6</v>
      </c>
      <c r="G163" t="str">
        <f>TEXT(agg_orders_daily_revenue[[#This Row],[Order_Date]],"yyyy-mm")</f>
        <v>2024-06</v>
      </c>
      <c r="H163">
        <f>WEEKDAY(agg_orders_daily_revenue[[#This Row],[Order_Date]],2)</f>
        <v>1</v>
      </c>
      <c r="I163" t="str">
        <f>IF(OR(agg_orders_daily_revenue[[#This Row],[Weekday_Num]]=6, agg_orders_daily_revenue[[#This Row],[Weekday_Num]]=7), "Weekend", "Weekday")</f>
        <v>Weekday</v>
      </c>
      <c r="J163" t="str">
        <f>TEXT(agg_orders_daily_revenue[[#This Row],[Order_Date]], "ddd")</f>
        <v>Mon</v>
      </c>
    </row>
    <row r="164" spans="1:10" x14ac:dyDescent="0.4">
      <c r="A164" s="1">
        <v>45454</v>
      </c>
      <c r="B164">
        <v>513849</v>
      </c>
      <c r="C164">
        <v>500572.29</v>
      </c>
      <c r="D164">
        <v>410</v>
      </c>
      <c r="E164">
        <f>YEAR(agg_orders_daily_revenue[[#This Row],[Order_Date]])</f>
        <v>2024</v>
      </c>
      <c r="F164">
        <f>MONTH(agg_orders_daily_revenue[[#This Row],[Order_Date]])</f>
        <v>6</v>
      </c>
      <c r="G164" t="str">
        <f>TEXT(agg_orders_daily_revenue[[#This Row],[Order_Date]],"yyyy-mm")</f>
        <v>2024-06</v>
      </c>
      <c r="H164">
        <f>WEEKDAY(agg_orders_daily_revenue[[#This Row],[Order_Date]],2)</f>
        <v>2</v>
      </c>
      <c r="I164" t="str">
        <f>IF(OR(agg_orders_daily_revenue[[#This Row],[Weekday_Num]]=6, agg_orders_daily_revenue[[#This Row],[Weekday_Num]]=7), "Weekend", "Weekday")</f>
        <v>Weekday</v>
      </c>
      <c r="J164" t="str">
        <f>TEXT(agg_orders_daily_revenue[[#This Row],[Order_Date]], "ddd")</f>
        <v>Tue</v>
      </c>
    </row>
    <row r="165" spans="1:10" x14ac:dyDescent="0.4">
      <c r="A165" s="1">
        <v>45455</v>
      </c>
      <c r="B165">
        <v>560079</v>
      </c>
      <c r="C165">
        <v>513019.43</v>
      </c>
      <c r="D165">
        <v>435</v>
      </c>
      <c r="E165">
        <f>YEAR(agg_orders_daily_revenue[[#This Row],[Order_Date]])</f>
        <v>2024</v>
      </c>
      <c r="F165">
        <f>MONTH(agg_orders_daily_revenue[[#This Row],[Order_Date]])</f>
        <v>6</v>
      </c>
      <c r="G165" t="str">
        <f>TEXT(agg_orders_daily_revenue[[#This Row],[Order_Date]],"yyyy-mm")</f>
        <v>2024-06</v>
      </c>
      <c r="H165">
        <f>WEEKDAY(agg_orders_daily_revenue[[#This Row],[Order_Date]],2)</f>
        <v>3</v>
      </c>
      <c r="I165" t="str">
        <f>IF(OR(agg_orders_daily_revenue[[#This Row],[Weekday_Num]]=6, agg_orders_daily_revenue[[#This Row],[Weekday_Num]]=7), "Weekend", "Weekday")</f>
        <v>Weekday</v>
      </c>
      <c r="J165" t="str">
        <f>TEXT(agg_orders_daily_revenue[[#This Row],[Order_Date]], "ddd")</f>
        <v>Wed</v>
      </c>
    </row>
    <row r="166" spans="1:10" x14ac:dyDescent="0.4">
      <c r="A166" s="1">
        <v>45456</v>
      </c>
      <c r="B166">
        <v>501022</v>
      </c>
      <c r="C166">
        <v>509616.29</v>
      </c>
      <c r="D166">
        <v>422</v>
      </c>
      <c r="E166">
        <f>YEAR(agg_orders_daily_revenue[[#This Row],[Order_Date]])</f>
        <v>2024</v>
      </c>
      <c r="F166">
        <f>MONTH(agg_orders_daily_revenue[[#This Row],[Order_Date]])</f>
        <v>6</v>
      </c>
      <c r="G166" t="str">
        <f>TEXT(agg_orders_daily_revenue[[#This Row],[Order_Date]],"yyyy-mm")</f>
        <v>2024-06</v>
      </c>
      <c r="H166">
        <f>WEEKDAY(agg_orders_daily_revenue[[#This Row],[Order_Date]],2)</f>
        <v>4</v>
      </c>
      <c r="I166" t="str">
        <f>IF(OR(agg_orders_daily_revenue[[#This Row],[Weekday_Num]]=6, agg_orders_daily_revenue[[#This Row],[Weekday_Num]]=7), "Weekend", "Weekday")</f>
        <v>Weekday</v>
      </c>
      <c r="J166" t="str">
        <f>TEXT(agg_orders_daily_revenue[[#This Row],[Order_Date]], "ddd")</f>
        <v>Thu</v>
      </c>
    </row>
    <row r="167" spans="1:10" x14ac:dyDescent="0.4">
      <c r="A167" s="1">
        <v>45457</v>
      </c>
      <c r="B167">
        <v>536878</v>
      </c>
      <c r="C167">
        <v>525058.86</v>
      </c>
      <c r="D167">
        <v>436</v>
      </c>
      <c r="E167">
        <f>YEAR(agg_orders_daily_revenue[[#This Row],[Order_Date]])</f>
        <v>2024</v>
      </c>
      <c r="F167">
        <f>MONTH(agg_orders_daily_revenue[[#This Row],[Order_Date]])</f>
        <v>6</v>
      </c>
      <c r="G167" t="str">
        <f>TEXT(agg_orders_daily_revenue[[#This Row],[Order_Date]],"yyyy-mm")</f>
        <v>2024-06</v>
      </c>
      <c r="H167">
        <f>WEEKDAY(agg_orders_daily_revenue[[#This Row],[Order_Date]],2)</f>
        <v>5</v>
      </c>
      <c r="I167" t="str">
        <f>IF(OR(agg_orders_daily_revenue[[#This Row],[Weekday_Num]]=6, agg_orders_daily_revenue[[#This Row],[Weekday_Num]]=7), "Weekend", "Weekday")</f>
        <v>Weekday</v>
      </c>
      <c r="J167" t="str">
        <f>TEXT(agg_orders_daily_revenue[[#This Row],[Order_Date]], "ddd")</f>
        <v>Fri</v>
      </c>
    </row>
    <row r="168" spans="1:10" x14ac:dyDescent="0.4">
      <c r="A168" s="1">
        <v>45458</v>
      </c>
      <c r="B168">
        <v>468453</v>
      </c>
      <c r="C168">
        <v>515017.71</v>
      </c>
      <c r="D168">
        <v>378</v>
      </c>
      <c r="E168">
        <f>YEAR(agg_orders_daily_revenue[[#This Row],[Order_Date]])</f>
        <v>2024</v>
      </c>
      <c r="F168">
        <f>MONTH(agg_orders_daily_revenue[[#This Row],[Order_Date]])</f>
        <v>6</v>
      </c>
      <c r="G168" t="str">
        <f>TEXT(agg_orders_daily_revenue[[#This Row],[Order_Date]],"yyyy-mm")</f>
        <v>2024-06</v>
      </c>
      <c r="H168">
        <f>WEEKDAY(agg_orders_daily_revenue[[#This Row],[Order_Date]],2)</f>
        <v>6</v>
      </c>
      <c r="I168" t="str">
        <f>IF(OR(agg_orders_daily_revenue[[#This Row],[Weekday_Num]]=6, agg_orders_daily_revenue[[#This Row],[Weekday_Num]]=7), "Weekend", "Weekday")</f>
        <v>Weekend</v>
      </c>
      <c r="J168" t="str">
        <f>TEXT(agg_orders_daily_revenue[[#This Row],[Order_Date]], "ddd")</f>
        <v>Sat</v>
      </c>
    </row>
    <row r="169" spans="1:10" x14ac:dyDescent="0.4">
      <c r="A169" s="1">
        <v>45459</v>
      </c>
      <c r="B169">
        <v>552695</v>
      </c>
      <c r="C169">
        <v>520753.71</v>
      </c>
      <c r="D169">
        <v>429</v>
      </c>
      <c r="E169">
        <f>YEAR(agg_orders_daily_revenue[[#This Row],[Order_Date]])</f>
        <v>2024</v>
      </c>
      <c r="F169">
        <f>MONTH(agg_orders_daily_revenue[[#This Row],[Order_Date]])</f>
        <v>6</v>
      </c>
      <c r="G169" t="str">
        <f>TEXT(agg_orders_daily_revenue[[#This Row],[Order_Date]],"yyyy-mm")</f>
        <v>2024-06</v>
      </c>
      <c r="H169">
        <f>WEEKDAY(agg_orders_daily_revenue[[#This Row],[Order_Date]],2)</f>
        <v>7</v>
      </c>
      <c r="I169" t="str">
        <f>IF(OR(agg_orders_daily_revenue[[#This Row],[Weekday_Num]]=6, agg_orders_daily_revenue[[#This Row],[Weekday_Num]]=7), "Weekend", "Weekday")</f>
        <v>Weekend</v>
      </c>
      <c r="J169" t="str">
        <f>TEXT(agg_orders_daily_revenue[[#This Row],[Order_Date]], "ddd")</f>
        <v>Sun</v>
      </c>
    </row>
    <row r="170" spans="1:10" x14ac:dyDescent="0.4">
      <c r="A170" s="1">
        <v>45460</v>
      </c>
      <c r="B170">
        <v>507299</v>
      </c>
      <c r="C170">
        <v>520039.29</v>
      </c>
      <c r="D170">
        <v>400</v>
      </c>
      <c r="E170">
        <f>YEAR(agg_orders_daily_revenue[[#This Row],[Order_Date]])</f>
        <v>2024</v>
      </c>
      <c r="F170">
        <f>MONTH(agg_orders_daily_revenue[[#This Row],[Order_Date]])</f>
        <v>6</v>
      </c>
      <c r="G170" t="str">
        <f>TEXT(agg_orders_daily_revenue[[#This Row],[Order_Date]],"yyyy-mm")</f>
        <v>2024-06</v>
      </c>
      <c r="H170">
        <f>WEEKDAY(agg_orders_daily_revenue[[#This Row],[Order_Date]],2)</f>
        <v>1</v>
      </c>
      <c r="I170" t="str">
        <f>IF(OR(agg_orders_daily_revenue[[#This Row],[Weekday_Num]]=6, agg_orders_daily_revenue[[#This Row],[Weekday_Num]]=7), "Weekend", "Weekday")</f>
        <v>Weekday</v>
      </c>
      <c r="J170" t="str">
        <f>TEXT(agg_orders_daily_revenue[[#This Row],[Order_Date]], "ddd")</f>
        <v>Mon</v>
      </c>
    </row>
    <row r="171" spans="1:10" x14ac:dyDescent="0.4">
      <c r="A171" s="1">
        <v>45461</v>
      </c>
      <c r="B171">
        <v>541137</v>
      </c>
      <c r="C171">
        <v>523937.57</v>
      </c>
      <c r="D171">
        <v>406</v>
      </c>
      <c r="E171">
        <f>YEAR(agg_orders_daily_revenue[[#This Row],[Order_Date]])</f>
        <v>2024</v>
      </c>
      <c r="F171">
        <f>MONTH(agg_orders_daily_revenue[[#This Row],[Order_Date]])</f>
        <v>6</v>
      </c>
      <c r="G171" t="str">
        <f>TEXT(agg_orders_daily_revenue[[#This Row],[Order_Date]],"yyyy-mm")</f>
        <v>2024-06</v>
      </c>
      <c r="H171">
        <f>WEEKDAY(agg_orders_daily_revenue[[#This Row],[Order_Date]],2)</f>
        <v>2</v>
      </c>
      <c r="I171" t="str">
        <f>IF(OR(agg_orders_daily_revenue[[#This Row],[Weekday_Num]]=6, agg_orders_daily_revenue[[#This Row],[Weekday_Num]]=7), "Weekend", "Weekday")</f>
        <v>Weekday</v>
      </c>
      <c r="J171" t="str">
        <f>TEXT(agg_orders_daily_revenue[[#This Row],[Order_Date]], "ddd")</f>
        <v>Tue</v>
      </c>
    </row>
    <row r="172" spans="1:10" x14ac:dyDescent="0.4">
      <c r="A172" s="1">
        <v>45462</v>
      </c>
      <c r="B172">
        <v>492782</v>
      </c>
      <c r="C172">
        <v>514323.71</v>
      </c>
      <c r="D172">
        <v>407</v>
      </c>
      <c r="E172">
        <f>YEAR(agg_orders_daily_revenue[[#This Row],[Order_Date]])</f>
        <v>2024</v>
      </c>
      <c r="F172">
        <f>MONTH(agg_orders_daily_revenue[[#This Row],[Order_Date]])</f>
        <v>6</v>
      </c>
      <c r="G172" t="str">
        <f>TEXT(agg_orders_daily_revenue[[#This Row],[Order_Date]],"yyyy-mm")</f>
        <v>2024-06</v>
      </c>
      <c r="H172">
        <f>WEEKDAY(agg_orders_daily_revenue[[#This Row],[Order_Date]],2)</f>
        <v>3</v>
      </c>
      <c r="I172" t="str">
        <f>IF(OR(agg_orders_daily_revenue[[#This Row],[Weekday_Num]]=6, agg_orders_daily_revenue[[#This Row],[Weekday_Num]]=7), "Weekend", "Weekday")</f>
        <v>Weekday</v>
      </c>
      <c r="J172" t="str">
        <f>TEXT(agg_orders_daily_revenue[[#This Row],[Order_Date]], "ddd")</f>
        <v>Wed</v>
      </c>
    </row>
    <row r="173" spans="1:10" x14ac:dyDescent="0.4">
      <c r="A173" s="1">
        <v>45463</v>
      </c>
      <c r="B173">
        <v>515200</v>
      </c>
      <c r="C173">
        <v>516349.14</v>
      </c>
      <c r="D173">
        <v>434</v>
      </c>
      <c r="E173">
        <f>YEAR(agg_orders_daily_revenue[[#This Row],[Order_Date]])</f>
        <v>2024</v>
      </c>
      <c r="F173">
        <f>MONTH(agg_orders_daily_revenue[[#This Row],[Order_Date]])</f>
        <v>6</v>
      </c>
      <c r="G173" t="str">
        <f>TEXT(agg_orders_daily_revenue[[#This Row],[Order_Date]],"yyyy-mm")</f>
        <v>2024-06</v>
      </c>
      <c r="H173">
        <f>WEEKDAY(agg_orders_daily_revenue[[#This Row],[Order_Date]],2)</f>
        <v>4</v>
      </c>
      <c r="I173" t="str">
        <f>IF(OR(agg_orders_daily_revenue[[#This Row],[Weekday_Num]]=6, agg_orders_daily_revenue[[#This Row],[Weekday_Num]]=7), "Weekend", "Weekday")</f>
        <v>Weekday</v>
      </c>
      <c r="J173" t="str">
        <f>TEXT(agg_orders_daily_revenue[[#This Row],[Order_Date]], "ddd")</f>
        <v>Thu</v>
      </c>
    </row>
    <row r="174" spans="1:10" x14ac:dyDescent="0.4">
      <c r="A174" s="1">
        <v>45464</v>
      </c>
      <c r="B174">
        <v>518792</v>
      </c>
      <c r="C174">
        <v>513765.43</v>
      </c>
      <c r="D174">
        <v>415</v>
      </c>
      <c r="E174">
        <f>YEAR(agg_orders_daily_revenue[[#This Row],[Order_Date]])</f>
        <v>2024</v>
      </c>
      <c r="F174">
        <f>MONTH(agg_orders_daily_revenue[[#This Row],[Order_Date]])</f>
        <v>6</v>
      </c>
      <c r="G174" t="str">
        <f>TEXT(agg_orders_daily_revenue[[#This Row],[Order_Date]],"yyyy-mm")</f>
        <v>2024-06</v>
      </c>
      <c r="H174">
        <f>WEEKDAY(agg_orders_daily_revenue[[#This Row],[Order_Date]],2)</f>
        <v>5</v>
      </c>
      <c r="I174" t="str">
        <f>IF(OR(agg_orders_daily_revenue[[#This Row],[Weekday_Num]]=6, agg_orders_daily_revenue[[#This Row],[Weekday_Num]]=7), "Weekend", "Weekday")</f>
        <v>Weekday</v>
      </c>
      <c r="J174" t="str">
        <f>TEXT(agg_orders_daily_revenue[[#This Row],[Order_Date]], "ddd")</f>
        <v>Fri</v>
      </c>
    </row>
    <row r="175" spans="1:10" x14ac:dyDescent="0.4">
      <c r="A175" s="1">
        <v>45465</v>
      </c>
      <c r="B175">
        <v>515575</v>
      </c>
      <c r="C175">
        <v>520497.14</v>
      </c>
      <c r="D175">
        <v>407</v>
      </c>
      <c r="E175">
        <f>YEAR(agg_orders_daily_revenue[[#This Row],[Order_Date]])</f>
        <v>2024</v>
      </c>
      <c r="F175">
        <f>MONTH(agg_orders_daily_revenue[[#This Row],[Order_Date]])</f>
        <v>6</v>
      </c>
      <c r="G175" t="str">
        <f>TEXT(agg_orders_daily_revenue[[#This Row],[Order_Date]],"yyyy-mm")</f>
        <v>2024-06</v>
      </c>
      <c r="H175">
        <f>WEEKDAY(agg_orders_daily_revenue[[#This Row],[Order_Date]],2)</f>
        <v>6</v>
      </c>
      <c r="I175" t="str">
        <f>IF(OR(agg_orders_daily_revenue[[#This Row],[Weekday_Num]]=6, agg_orders_daily_revenue[[#This Row],[Weekday_Num]]=7), "Weekend", "Weekday")</f>
        <v>Weekend</v>
      </c>
      <c r="J175" t="str">
        <f>TEXT(agg_orders_daily_revenue[[#This Row],[Order_Date]], "ddd")</f>
        <v>Sat</v>
      </c>
    </row>
    <row r="176" spans="1:10" x14ac:dyDescent="0.4">
      <c r="A176" s="1">
        <v>45466</v>
      </c>
      <c r="B176">
        <v>502754</v>
      </c>
      <c r="C176">
        <v>513362.71</v>
      </c>
      <c r="D176">
        <v>407</v>
      </c>
      <c r="E176">
        <f>YEAR(agg_orders_daily_revenue[[#This Row],[Order_Date]])</f>
        <v>2024</v>
      </c>
      <c r="F176">
        <f>MONTH(agg_orders_daily_revenue[[#This Row],[Order_Date]])</f>
        <v>6</v>
      </c>
      <c r="G176" t="str">
        <f>TEXT(agg_orders_daily_revenue[[#This Row],[Order_Date]],"yyyy-mm")</f>
        <v>2024-06</v>
      </c>
      <c r="H176">
        <f>WEEKDAY(agg_orders_daily_revenue[[#This Row],[Order_Date]],2)</f>
        <v>7</v>
      </c>
      <c r="I176" t="str">
        <f>IF(OR(agg_orders_daily_revenue[[#This Row],[Weekday_Num]]=6, agg_orders_daily_revenue[[#This Row],[Weekday_Num]]=7), "Weekend", "Weekday")</f>
        <v>Weekend</v>
      </c>
      <c r="J176" t="str">
        <f>TEXT(agg_orders_daily_revenue[[#This Row],[Order_Date]], "ddd")</f>
        <v>Sun</v>
      </c>
    </row>
    <row r="177" spans="1:10" x14ac:dyDescent="0.4">
      <c r="A177" s="1">
        <v>45467</v>
      </c>
      <c r="B177">
        <v>481164</v>
      </c>
      <c r="C177">
        <v>509629.14</v>
      </c>
      <c r="D177">
        <v>391</v>
      </c>
      <c r="E177">
        <f>YEAR(agg_orders_daily_revenue[[#This Row],[Order_Date]])</f>
        <v>2024</v>
      </c>
      <c r="F177">
        <f>MONTH(agg_orders_daily_revenue[[#This Row],[Order_Date]])</f>
        <v>6</v>
      </c>
      <c r="G177" t="str">
        <f>TEXT(agg_orders_daily_revenue[[#This Row],[Order_Date]],"yyyy-mm")</f>
        <v>2024-06</v>
      </c>
      <c r="H177">
        <f>WEEKDAY(agg_orders_daily_revenue[[#This Row],[Order_Date]],2)</f>
        <v>1</v>
      </c>
      <c r="I177" t="str">
        <f>IF(OR(agg_orders_daily_revenue[[#This Row],[Weekday_Num]]=6, agg_orders_daily_revenue[[#This Row],[Weekday_Num]]=7), "Weekend", "Weekday")</f>
        <v>Weekday</v>
      </c>
      <c r="J177" t="str">
        <f>TEXT(agg_orders_daily_revenue[[#This Row],[Order_Date]], "ddd")</f>
        <v>Mon</v>
      </c>
    </row>
    <row r="178" spans="1:10" x14ac:dyDescent="0.4">
      <c r="A178" s="1">
        <v>45468</v>
      </c>
      <c r="B178">
        <v>515893</v>
      </c>
      <c r="C178">
        <v>506022.86</v>
      </c>
      <c r="D178">
        <v>408</v>
      </c>
      <c r="E178">
        <f>YEAR(agg_orders_daily_revenue[[#This Row],[Order_Date]])</f>
        <v>2024</v>
      </c>
      <c r="F178">
        <f>MONTH(agg_orders_daily_revenue[[#This Row],[Order_Date]])</f>
        <v>6</v>
      </c>
      <c r="G178" t="str">
        <f>TEXT(agg_orders_daily_revenue[[#This Row],[Order_Date]],"yyyy-mm")</f>
        <v>2024-06</v>
      </c>
      <c r="H178">
        <f>WEEKDAY(agg_orders_daily_revenue[[#This Row],[Order_Date]],2)</f>
        <v>2</v>
      </c>
      <c r="I178" t="str">
        <f>IF(OR(agg_orders_daily_revenue[[#This Row],[Weekday_Num]]=6, agg_orders_daily_revenue[[#This Row],[Weekday_Num]]=7), "Weekend", "Weekday")</f>
        <v>Weekday</v>
      </c>
      <c r="J178" t="str">
        <f>TEXT(agg_orders_daily_revenue[[#This Row],[Order_Date]], "ddd")</f>
        <v>Tue</v>
      </c>
    </row>
    <row r="179" spans="1:10" x14ac:dyDescent="0.4">
      <c r="A179" s="1">
        <v>45469</v>
      </c>
      <c r="B179">
        <v>542954</v>
      </c>
      <c r="C179">
        <v>513190.29</v>
      </c>
      <c r="D179">
        <v>452</v>
      </c>
      <c r="E179">
        <f>YEAR(agg_orders_daily_revenue[[#This Row],[Order_Date]])</f>
        <v>2024</v>
      </c>
      <c r="F179">
        <f>MONTH(agg_orders_daily_revenue[[#This Row],[Order_Date]])</f>
        <v>6</v>
      </c>
      <c r="G179" t="str">
        <f>TEXT(agg_orders_daily_revenue[[#This Row],[Order_Date]],"yyyy-mm")</f>
        <v>2024-06</v>
      </c>
      <c r="H179">
        <f>WEEKDAY(agg_orders_daily_revenue[[#This Row],[Order_Date]],2)</f>
        <v>3</v>
      </c>
      <c r="I179" t="str">
        <f>IF(OR(agg_orders_daily_revenue[[#This Row],[Weekday_Num]]=6, agg_orders_daily_revenue[[#This Row],[Weekday_Num]]=7), "Weekend", "Weekday")</f>
        <v>Weekday</v>
      </c>
      <c r="J179" t="str">
        <f>TEXT(agg_orders_daily_revenue[[#This Row],[Order_Date]], "ddd")</f>
        <v>Wed</v>
      </c>
    </row>
    <row r="180" spans="1:10" x14ac:dyDescent="0.4">
      <c r="A180" s="1">
        <v>45470</v>
      </c>
      <c r="B180">
        <v>538107</v>
      </c>
      <c r="C180">
        <v>516462.71</v>
      </c>
      <c r="D180">
        <v>416</v>
      </c>
      <c r="E180">
        <f>YEAR(agg_orders_daily_revenue[[#This Row],[Order_Date]])</f>
        <v>2024</v>
      </c>
      <c r="F180">
        <f>MONTH(agg_orders_daily_revenue[[#This Row],[Order_Date]])</f>
        <v>6</v>
      </c>
      <c r="G180" t="str">
        <f>TEXT(agg_orders_daily_revenue[[#This Row],[Order_Date]],"yyyy-mm")</f>
        <v>2024-06</v>
      </c>
      <c r="H180">
        <f>WEEKDAY(agg_orders_daily_revenue[[#This Row],[Order_Date]],2)</f>
        <v>4</v>
      </c>
      <c r="I180" t="str">
        <f>IF(OR(agg_orders_daily_revenue[[#This Row],[Weekday_Num]]=6, agg_orders_daily_revenue[[#This Row],[Weekday_Num]]=7), "Weekend", "Weekday")</f>
        <v>Weekday</v>
      </c>
      <c r="J180" t="str">
        <f>TEXT(agg_orders_daily_revenue[[#This Row],[Order_Date]], "ddd")</f>
        <v>Thu</v>
      </c>
    </row>
    <row r="181" spans="1:10" x14ac:dyDescent="0.4">
      <c r="A181" s="1">
        <v>45471</v>
      </c>
      <c r="B181">
        <v>509803</v>
      </c>
      <c r="C181">
        <v>515178.57</v>
      </c>
      <c r="D181">
        <v>401</v>
      </c>
      <c r="E181">
        <f>YEAR(agg_orders_daily_revenue[[#This Row],[Order_Date]])</f>
        <v>2024</v>
      </c>
      <c r="F181">
        <f>MONTH(agg_orders_daily_revenue[[#This Row],[Order_Date]])</f>
        <v>6</v>
      </c>
      <c r="G181" t="str">
        <f>TEXT(agg_orders_daily_revenue[[#This Row],[Order_Date]],"yyyy-mm")</f>
        <v>2024-06</v>
      </c>
      <c r="H181">
        <f>WEEKDAY(agg_orders_daily_revenue[[#This Row],[Order_Date]],2)</f>
        <v>5</v>
      </c>
      <c r="I181" t="str">
        <f>IF(OR(agg_orders_daily_revenue[[#This Row],[Weekday_Num]]=6, agg_orders_daily_revenue[[#This Row],[Weekday_Num]]=7), "Weekend", "Weekday")</f>
        <v>Weekday</v>
      </c>
      <c r="J181" t="str">
        <f>TEXT(agg_orders_daily_revenue[[#This Row],[Order_Date]], "ddd")</f>
        <v>Fri</v>
      </c>
    </row>
    <row r="182" spans="1:10" x14ac:dyDescent="0.4">
      <c r="A182" s="1">
        <v>45472</v>
      </c>
      <c r="B182">
        <v>543649</v>
      </c>
      <c r="C182">
        <v>519189.14</v>
      </c>
      <c r="D182">
        <v>453</v>
      </c>
      <c r="E182">
        <f>YEAR(agg_orders_daily_revenue[[#This Row],[Order_Date]])</f>
        <v>2024</v>
      </c>
      <c r="F182">
        <f>MONTH(agg_orders_daily_revenue[[#This Row],[Order_Date]])</f>
        <v>6</v>
      </c>
      <c r="G182" t="str">
        <f>TEXT(agg_orders_daily_revenue[[#This Row],[Order_Date]],"yyyy-mm")</f>
        <v>2024-06</v>
      </c>
      <c r="H182">
        <f>WEEKDAY(agg_orders_daily_revenue[[#This Row],[Order_Date]],2)</f>
        <v>6</v>
      </c>
      <c r="I182" t="str">
        <f>IF(OR(agg_orders_daily_revenue[[#This Row],[Weekday_Num]]=6, agg_orders_daily_revenue[[#This Row],[Weekday_Num]]=7), "Weekend", "Weekday")</f>
        <v>Weekend</v>
      </c>
      <c r="J182" t="str">
        <f>TEXT(agg_orders_daily_revenue[[#This Row],[Order_Date]], "ddd")</f>
        <v>Sat</v>
      </c>
    </row>
    <row r="183" spans="1:10" x14ac:dyDescent="0.4">
      <c r="A183" s="1">
        <v>45473</v>
      </c>
      <c r="B183">
        <v>508402</v>
      </c>
      <c r="C183">
        <v>519996</v>
      </c>
      <c r="D183">
        <v>410</v>
      </c>
      <c r="E183">
        <f>YEAR(agg_orders_daily_revenue[[#This Row],[Order_Date]])</f>
        <v>2024</v>
      </c>
      <c r="F183">
        <f>MONTH(agg_orders_daily_revenue[[#This Row],[Order_Date]])</f>
        <v>6</v>
      </c>
      <c r="G183" t="str">
        <f>TEXT(agg_orders_daily_revenue[[#This Row],[Order_Date]],"yyyy-mm")</f>
        <v>2024-06</v>
      </c>
      <c r="H183">
        <f>WEEKDAY(agg_orders_daily_revenue[[#This Row],[Order_Date]],2)</f>
        <v>7</v>
      </c>
      <c r="I183" t="str">
        <f>IF(OR(agg_orders_daily_revenue[[#This Row],[Weekday_Num]]=6, agg_orders_daily_revenue[[#This Row],[Weekday_Num]]=7), "Weekend", "Weekday")</f>
        <v>Weekend</v>
      </c>
      <c r="J183" t="str">
        <f>TEXT(agg_orders_daily_revenue[[#This Row],[Order_Date]], "ddd")</f>
        <v>Sun</v>
      </c>
    </row>
    <row r="184" spans="1:10" x14ac:dyDescent="0.4">
      <c r="A184" s="1">
        <v>45474</v>
      </c>
      <c r="B184">
        <v>489324</v>
      </c>
      <c r="C184">
        <v>521161.71</v>
      </c>
      <c r="D184">
        <v>381</v>
      </c>
      <c r="E184">
        <f>YEAR(agg_orders_daily_revenue[[#This Row],[Order_Date]])</f>
        <v>2024</v>
      </c>
      <c r="F184">
        <f>MONTH(agg_orders_daily_revenue[[#This Row],[Order_Date]])</f>
        <v>7</v>
      </c>
      <c r="G184" t="str">
        <f>TEXT(agg_orders_daily_revenue[[#This Row],[Order_Date]],"yyyy-mm")</f>
        <v>2024-07</v>
      </c>
      <c r="H184">
        <f>WEEKDAY(agg_orders_daily_revenue[[#This Row],[Order_Date]],2)</f>
        <v>1</v>
      </c>
      <c r="I184" t="str">
        <f>IF(OR(agg_orders_daily_revenue[[#This Row],[Weekday_Num]]=6, agg_orders_daily_revenue[[#This Row],[Weekday_Num]]=7), "Weekend", "Weekday")</f>
        <v>Weekday</v>
      </c>
      <c r="J184" t="str">
        <f>TEXT(agg_orders_daily_revenue[[#This Row],[Order_Date]], "ddd")</f>
        <v>Mon</v>
      </c>
    </row>
    <row r="185" spans="1:10" x14ac:dyDescent="0.4">
      <c r="A185" s="1">
        <v>45475</v>
      </c>
      <c r="B185">
        <v>470854</v>
      </c>
      <c r="C185">
        <v>514727.57</v>
      </c>
      <c r="D185">
        <v>375</v>
      </c>
      <c r="E185">
        <f>YEAR(agg_orders_daily_revenue[[#This Row],[Order_Date]])</f>
        <v>2024</v>
      </c>
      <c r="F185">
        <f>MONTH(agg_orders_daily_revenue[[#This Row],[Order_Date]])</f>
        <v>7</v>
      </c>
      <c r="G185" t="str">
        <f>TEXT(agg_orders_daily_revenue[[#This Row],[Order_Date]],"yyyy-mm")</f>
        <v>2024-07</v>
      </c>
      <c r="H185">
        <f>WEEKDAY(agg_orders_daily_revenue[[#This Row],[Order_Date]],2)</f>
        <v>2</v>
      </c>
      <c r="I185" t="str">
        <f>IF(OR(agg_orders_daily_revenue[[#This Row],[Weekday_Num]]=6, agg_orders_daily_revenue[[#This Row],[Weekday_Num]]=7), "Weekend", "Weekday")</f>
        <v>Weekday</v>
      </c>
      <c r="J185" t="str">
        <f>TEXT(agg_orders_daily_revenue[[#This Row],[Order_Date]], "ddd")</f>
        <v>Tue</v>
      </c>
    </row>
    <row r="186" spans="1:10" x14ac:dyDescent="0.4">
      <c r="A186" s="1">
        <v>45476</v>
      </c>
      <c r="B186">
        <v>465584</v>
      </c>
      <c r="C186">
        <v>503674.71</v>
      </c>
      <c r="D186">
        <v>377</v>
      </c>
      <c r="E186">
        <f>YEAR(agg_orders_daily_revenue[[#This Row],[Order_Date]])</f>
        <v>2024</v>
      </c>
      <c r="F186">
        <f>MONTH(agg_orders_daily_revenue[[#This Row],[Order_Date]])</f>
        <v>7</v>
      </c>
      <c r="G186" t="str">
        <f>TEXT(agg_orders_daily_revenue[[#This Row],[Order_Date]],"yyyy-mm")</f>
        <v>2024-07</v>
      </c>
      <c r="H186">
        <f>WEEKDAY(agg_orders_daily_revenue[[#This Row],[Order_Date]],2)</f>
        <v>3</v>
      </c>
      <c r="I186" t="str">
        <f>IF(OR(agg_orders_daily_revenue[[#This Row],[Weekday_Num]]=6, agg_orders_daily_revenue[[#This Row],[Weekday_Num]]=7), "Weekend", "Weekday")</f>
        <v>Weekday</v>
      </c>
      <c r="J186" t="str">
        <f>TEXT(agg_orders_daily_revenue[[#This Row],[Order_Date]], "ddd")</f>
        <v>Wed</v>
      </c>
    </row>
    <row r="187" spans="1:10" x14ac:dyDescent="0.4">
      <c r="A187" s="1">
        <v>45477</v>
      </c>
      <c r="B187">
        <v>528542</v>
      </c>
      <c r="C187">
        <v>502308.29</v>
      </c>
      <c r="D187">
        <v>409</v>
      </c>
      <c r="E187">
        <f>YEAR(agg_orders_daily_revenue[[#This Row],[Order_Date]])</f>
        <v>2024</v>
      </c>
      <c r="F187">
        <f>MONTH(agg_orders_daily_revenue[[#This Row],[Order_Date]])</f>
        <v>7</v>
      </c>
      <c r="G187" t="str">
        <f>TEXT(agg_orders_daily_revenue[[#This Row],[Order_Date]],"yyyy-mm")</f>
        <v>2024-07</v>
      </c>
      <c r="H187">
        <f>WEEKDAY(agg_orders_daily_revenue[[#This Row],[Order_Date]],2)</f>
        <v>4</v>
      </c>
      <c r="I187" t="str">
        <f>IF(OR(agg_orders_daily_revenue[[#This Row],[Weekday_Num]]=6, agg_orders_daily_revenue[[#This Row],[Weekday_Num]]=7), "Weekend", "Weekday")</f>
        <v>Weekday</v>
      </c>
      <c r="J187" t="str">
        <f>TEXT(agg_orders_daily_revenue[[#This Row],[Order_Date]], "ddd")</f>
        <v>Thu</v>
      </c>
    </row>
    <row r="188" spans="1:10" x14ac:dyDescent="0.4">
      <c r="A188" s="1">
        <v>45478</v>
      </c>
      <c r="B188">
        <v>553194</v>
      </c>
      <c r="C188">
        <v>508507</v>
      </c>
      <c r="D188">
        <v>427</v>
      </c>
      <c r="E188">
        <f>YEAR(agg_orders_daily_revenue[[#This Row],[Order_Date]])</f>
        <v>2024</v>
      </c>
      <c r="F188">
        <f>MONTH(agg_orders_daily_revenue[[#This Row],[Order_Date]])</f>
        <v>7</v>
      </c>
      <c r="G188" t="str">
        <f>TEXT(agg_orders_daily_revenue[[#This Row],[Order_Date]],"yyyy-mm")</f>
        <v>2024-07</v>
      </c>
      <c r="H188">
        <f>WEEKDAY(agg_orders_daily_revenue[[#This Row],[Order_Date]],2)</f>
        <v>5</v>
      </c>
      <c r="I188" t="str">
        <f>IF(OR(agg_orders_daily_revenue[[#This Row],[Weekday_Num]]=6, agg_orders_daily_revenue[[#This Row],[Weekday_Num]]=7), "Weekend", "Weekday")</f>
        <v>Weekday</v>
      </c>
      <c r="J188" t="str">
        <f>TEXT(agg_orders_daily_revenue[[#This Row],[Order_Date]], "ddd")</f>
        <v>Fri</v>
      </c>
    </row>
    <row r="189" spans="1:10" x14ac:dyDescent="0.4">
      <c r="A189" s="1">
        <v>45479</v>
      </c>
      <c r="B189">
        <v>511372</v>
      </c>
      <c r="C189">
        <v>503896</v>
      </c>
      <c r="D189">
        <v>401</v>
      </c>
      <c r="E189">
        <f>YEAR(agg_orders_daily_revenue[[#This Row],[Order_Date]])</f>
        <v>2024</v>
      </c>
      <c r="F189">
        <f>MONTH(agg_orders_daily_revenue[[#This Row],[Order_Date]])</f>
        <v>7</v>
      </c>
      <c r="G189" t="str">
        <f>TEXT(agg_orders_daily_revenue[[#This Row],[Order_Date]],"yyyy-mm")</f>
        <v>2024-07</v>
      </c>
      <c r="H189">
        <f>WEEKDAY(agg_orders_daily_revenue[[#This Row],[Order_Date]],2)</f>
        <v>6</v>
      </c>
      <c r="I189" t="str">
        <f>IF(OR(agg_orders_daily_revenue[[#This Row],[Weekday_Num]]=6, agg_orders_daily_revenue[[#This Row],[Weekday_Num]]=7), "Weekend", "Weekday")</f>
        <v>Weekend</v>
      </c>
      <c r="J189" t="str">
        <f>TEXT(agg_orders_daily_revenue[[#This Row],[Order_Date]], "ddd")</f>
        <v>Sat</v>
      </c>
    </row>
    <row r="190" spans="1:10" x14ac:dyDescent="0.4">
      <c r="A190" s="1">
        <v>45480</v>
      </c>
      <c r="B190">
        <v>499921</v>
      </c>
      <c r="C190">
        <v>502684.43</v>
      </c>
      <c r="D190">
        <v>392</v>
      </c>
      <c r="E190">
        <f>YEAR(agg_orders_daily_revenue[[#This Row],[Order_Date]])</f>
        <v>2024</v>
      </c>
      <c r="F190">
        <f>MONTH(agg_orders_daily_revenue[[#This Row],[Order_Date]])</f>
        <v>7</v>
      </c>
      <c r="G190" t="str">
        <f>TEXT(agg_orders_daily_revenue[[#This Row],[Order_Date]],"yyyy-mm")</f>
        <v>2024-07</v>
      </c>
      <c r="H190">
        <f>WEEKDAY(agg_orders_daily_revenue[[#This Row],[Order_Date]],2)</f>
        <v>7</v>
      </c>
      <c r="I190" t="str">
        <f>IF(OR(agg_orders_daily_revenue[[#This Row],[Weekday_Num]]=6, agg_orders_daily_revenue[[#This Row],[Weekday_Num]]=7), "Weekend", "Weekday")</f>
        <v>Weekend</v>
      </c>
      <c r="J190" t="str">
        <f>TEXT(agg_orders_daily_revenue[[#This Row],[Order_Date]], "ddd")</f>
        <v>Sun</v>
      </c>
    </row>
    <row r="191" spans="1:10" x14ac:dyDescent="0.4">
      <c r="A191" s="1">
        <v>45481</v>
      </c>
      <c r="B191">
        <v>571794</v>
      </c>
      <c r="C191">
        <v>514465.86</v>
      </c>
      <c r="D191">
        <v>435</v>
      </c>
      <c r="E191">
        <f>YEAR(agg_orders_daily_revenue[[#This Row],[Order_Date]])</f>
        <v>2024</v>
      </c>
      <c r="F191">
        <f>MONTH(agg_orders_daily_revenue[[#This Row],[Order_Date]])</f>
        <v>7</v>
      </c>
      <c r="G191" t="str">
        <f>TEXT(agg_orders_daily_revenue[[#This Row],[Order_Date]],"yyyy-mm")</f>
        <v>2024-07</v>
      </c>
      <c r="H191">
        <f>WEEKDAY(agg_orders_daily_revenue[[#This Row],[Order_Date]],2)</f>
        <v>1</v>
      </c>
      <c r="I191" t="str">
        <f>IF(OR(agg_orders_daily_revenue[[#This Row],[Weekday_Num]]=6, agg_orders_daily_revenue[[#This Row],[Weekday_Num]]=7), "Weekend", "Weekday")</f>
        <v>Weekday</v>
      </c>
      <c r="J191" t="str">
        <f>TEXT(agg_orders_daily_revenue[[#This Row],[Order_Date]], "ddd")</f>
        <v>Mon</v>
      </c>
    </row>
    <row r="192" spans="1:10" x14ac:dyDescent="0.4">
      <c r="A192" s="1">
        <v>45482</v>
      </c>
      <c r="B192">
        <v>459358</v>
      </c>
      <c r="C192">
        <v>512823.57</v>
      </c>
      <c r="D192">
        <v>384</v>
      </c>
      <c r="E192">
        <f>YEAR(agg_orders_daily_revenue[[#This Row],[Order_Date]])</f>
        <v>2024</v>
      </c>
      <c r="F192">
        <f>MONTH(agg_orders_daily_revenue[[#This Row],[Order_Date]])</f>
        <v>7</v>
      </c>
      <c r="G192" t="str">
        <f>TEXT(agg_orders_daily_revenue[[#This Row],[Order_Date]],"yyyy-mm")</f>
        <v>2024-07</v>
      </c>
      <c r="H192">
        <f>WEEKDAY(agg_orders_daily_revenue[[#This Row],[Order_Date]],2)</f>
        <v>2</v>
      </c>
      <c r="I192" t="str">
        <f>IF(OR(agg_orders_daily_revenue[[#This Row],[Weekday_Num]]=6, agg_orders_daily_revenue[[#This Row],[Weekday_Num]]=7), "Weekend", "Weekday")</f>
        <v>Weekday</v>
      </c>
      <c r="J192" t="str">
        <f>TEXT(agg_orders_daily_revenue[[#This Row],[Order_Date]], "ddd")</f>
        <v>Tue</v>
      </c>
    </row>
    <row r="193" spans="1:10" x14ac:dyDescent="0.4">
      <c r="A193" s="1">
        <v>45483</v>
      </c>
      <c r="B193">
        <v>565244</v>
      </c>
      <c r="C193">
        <v>527060.71</v>
      </c>
      <c r="D193">
        <v>439</v>
      </c>
      <c r="E193">
        <f>YEAR(agg_orders_daily_revenue[[#This Row],[Order_Date]])</f>
        <v>2024</v>
      </c>
      <c r="F193">
        <f>MONTH(agg_orders_daily_revenue[[#This Row],[Order_Date]])</f>
        <v>7</v>
      </c>
      <c r="G193" t="str">
        <f>TEXT(agg_orders_daily_revenue[[#This Row],[Order_Date]],"yyyy-mm")</f>
        <v>2024-07</v>
      </c>
      <c r="H193">
        <f>WEEKDAY(agg_orders_daily_revenue[[#This Row],[Order_Date]],2)</f>
        <v>3</v>
      </c>
      <c r="I193" t="str">
        <f>IF(OR(agg_orders_daily_revenue[[#This Row],[Weekday_Num]]=6, agg_orders_daily_revenue[[#This Row],[Weekday_Num]]=7), "Weekend", "Weekday")</f>
        <v>Weekday</v>
      </c>
      <c r="J193" t="str">
        <f>TEXT(agg_orders_daily_revenue[[#This Row],[Order_Date]], "ddd")</f>
        <v>Wed</v>
      </c>
    </row>
    <row r="194" spans="1:10" x14ac:dyDescent="0.4">
      <c r="A194" s="1">
        <v>45484</v>
      </c>
      <c r="B194">
        <v>532689</v>
      </c>
      <c r="C194">
        <v>527653.14</v>
      </c>
      <c r="D194">
        <v>419</v>
      </c>
      <c r="E194">
        <f>YEAR(agg_orders_daily_revenue[[#This Row],[Order_Date]])</f>
        <v>2024</v>
      </c>
      <c r="F194">
        <f>MONTH(agg_orders_daily_revenue[[#This Row],[Order_Date]])</f>
        <v>7</v>
      </c>
      <c r="G194" t="str">
        <f>TEXT(agg_orders_daily_revenue[[#This Row],[Order_Date]],"yyyy-mm")</f>
        <v>2024-07</v>
      </c>
      <c r="H194">
        <f>WEEKDAY(agg_orders_daily_revenue[[#This Row],[Order_Date]],2)</f>
        <v>4</v>
      </c>
      <c r="I194" t="str">
        <f>IF(OR(agg_orders_daily_revenue[[#This Row],[Weekday_Num]]=6, agg_orders_daily_revenue[[#This Row],[Weekday_Num]]=7), "Weekend", "Weekday")</f>
        <v>Weekday</v>
      </c>
      <c r="J194" t="str">
        <f>TEXT(agg_orders_daily_revenue[[#This Row],[Order_Date]], "ddd")</f>
        <v>Thu</v>
      </c>
    </row>
    <row r="195" spans="1:10" x14ac:dyDescent="0.4">
      <c r="A195" s="1">
        <v>45485</v>
      </c>
      <c r="B195">
        <v>557429</v>
      </c>
      <c r="C195">
        <v>528258.14</v>
      </c>
      <c r="D195">
        <v>445</v>
      </c>
      <c r="E195">
        <f>YEAR(agg_orders_daily_revenue[[#This Row],[Order_Date]])</f>
        <v>2024</v>
      </c>
      <c r="F195">
        <f>MONTH(agg_orders_daily_revenue[[#This Row],[Order_Date]])</f>
        <v>7</v>
      </c>
      <c r="G195" t="str">
        <f>TEXT(agg_orders_daily_revenue[[#This Row],[Order_Date]],"yyyy-mm")</f>
        <v>2024-07</v>
      </c>
      <c r="H195">
        <f>WEEKDAY(agg_orders_daily_revenue[[#This Row],[Order_Date]],2)</f>
        <v>5</v>
      </c>
      <c r="I195" t="str">
        <f>IF(OR(agg_orders_daily_revenue[[#This Row],[Weekday_Num]]=6, agg_orders_daily_revenue[[#This Row],[Weekday_Num]]=7), "Weekend", "Weekday")</f>
        <v>Weekday</v>
      </c>
      <c r="J195" t="str">
        <f>TEXT(agg_orders_daily_revenue[[#This Row],[Order_Date]], "ddd")</f>
        <v>Fri</v>
      </c>
    </row>
    <row r="196" spans="1:10" x14ac:dyDescent="0.4">
      <c r="A196" s="1">
        <v>45486</v>
      </c>
      <c r="B196">
        <v>519958</v>
      </c>
      <c r="C196">
        <v>529484.71</v>
      </c>
      <c r="D196">
        <v>417</v>
      </c>
      <c r="E196">
        <f>YEAR(agg_orders_daily_revenue[[#This Row],[Order_Date]])</f>
        <v>2024</v>
      </c>
      <c r="F196">
        <f>MONTH(agg_orders_daily_revenue[[#This Row],[Order_Date]])</f>
        <v>7</v>
      </c>
      <c r="G196" t="str">
        <f>TEXT(agg_orders_daily_revenue[[#This Row],[Order_Date]],"yyyy-mm")</f>
        <v>2024-07</v>
      </c>
      <c r="H196">
        <f>WEEKDAY(agg_orders_daily_revenue[[#This Row],[Order_Date]],2)</f>
        <v>6</v>
      </c>
      <c r="I196" t="str">
        <f>IF(OR(agg_orders_daily_revenue[[#This Row],[Weekday_Num]]=6, agg_orders_daily_revenue[[#This Row],[Weekday_Num]]=7), "Weekend", "Weekday")</f>
        <v>Weekend</v>
      </c>
      <c r="J196" t="str">
        <f>TEXT(agg_orders_daily_revenue[[#This Row],[Order_Date]], "ddd")</f>
        <v>Sat</v>
      </c>
    </row>
    <row r="197" spans="1:10" x14ac:dyDescent="0.4">
      <c r="A197" s="1">
        <v>45487</v>
      </c>
      <c r="B197">
        <v>515482</v>
      </c>
      <c r="C197">
        <v>531707.71</v>
      </c>
      <c r="D197">
        <v>403</v>
      </c>
      <c r="E197">
        <f>YEAR(agg_orders_daily_revenue[[#This Row],[Order_Date]])</f>
        <v>2024</v>
      </c>
      <c r="F197">
        <f>MONTH(agg_orders_daily_revenue[[#This Row],[Order_Date]])</f>
        <v>7</v>
      </c>
      <c r="G197" t="str">
        <f>TEXT(agg_orders_daily_revenue[[#This Row],[Order_Date]],"yyyy-mm")</f>
        <v>2024-07</v>
      </c>
      <c r="H197">
        <f>WEEKDAY(agg_orders_daily_revenue[[#This Row],[Order_Date]],2)</f>
        <v>7</v>
      </c>
      <c r="I197" t="str">
        <f>IF(OR(agg_orders_daily_revenue[[#This Row],[Weekday_Num]]=6, agg_orders_daily_revenue[[#This Row],[Weekday_Num]]=7), "Weekend", "Weekday")</f>
        <v>Weekend</v>
      </c>
      <c r="J197" t="str">
        <f>TEXT(agg_orders_daily_revenue[[#This Row],[Order_Date]], "ddd")</f>
        <v>Sun</v>
      </c>
    </row>
    <row r="198" spans="1:10" x14ac:dyDescent="0.4">
      <c r="A198" s="1">
        <v>45488</v>
      </c>
      <c r="B198">
        <v>514961</v>
      </c>
      <c r="C198">
        <v>523588.71</v>
      </c>
      <c r="D198">
        <v>416</v>
      </c>
      <c r="E198">
        <f>YEAR(agg_orders_daily_revenue[[#This Row],[Order_Date]])</f>
        <v>2024</v>
      </c>
      <c r="F198">
        <f>MONTH(agg_orders_daily_revenue[[#This Row],[Order_Date]])</f>
        <v>7</v>
      </c>
      <c r="G198" t="str">
        <f>TEXT(agg_orders_daily_revenue[[#This Row],[Order_Date]],"yyyy-mm")</f>
        <v>2024-07</v>
      </c>
      <c r="H198">
        <f>WEEKDAY(agg_orders_daily_revenue[[#This Row],[Order_Date]],2)</f>
        <v>1</v>
      </c>
      <c r="I198" t="str">
        <f>IF(OR(agg_orders_daily_revenue[[#This Row],[Weekday_Num]]=6, agg_orders_daily_revenue[[#This Row],[Weekday_Num]]=7), "Weekend", "Weekday")</f>
        <v>Weekday</v>
      </c>
      <c r="J198" t="str">
        <f>TEXT(agg_orders_daily_revenue[[#This Row],[Order_Date]], "ddd")</f>
        <v>Mon</v>
      </c>
    </row>
    <row r="199" spans="1:10" x14ac:dyDescent="0.4">
      <c r="A199" s="1">
        <v>45489</v>
      </c>
      <c r="B199">
        <v>552410</v>
      </c>
      <c r="C199">
        <v>536881.86</v>
      </c>
      <c r="D199">
        <v>437</v>
      </c>
      <c r="E199">
        <f>YEAR(agg_orders_daily_revenue[[#This Row],[Order_Date]])</f>
        <v>2024</v>
      </c>
      <c r="F199">
        <f>MONTH(agg_orders_daily_revenue[[#This Row],[Order_Date]])</f>
        <v>7</v>
      </c>
      <c r="G199" t="str">
        <f>TEXT(agg_orders_daily_revenue[[#This Row],[Order_Date]],"yyyy-mm")</f>
        <v>2024-07</v>
      </c>
      <c r="H199">
        <f>WEEKDAY(agg_orders_daily_revenue[[#This Row],[Order_Date]],2)</f>
        <v>2</v>
      </c>
      <c r="I199" t="str">
        <f>IF(OR(agg_orders_daily_revenue[[#This Row],[Weekday_Num]]=6, agg_orders_daily_revenue[[#This Row],[Weekday_Num]]=7), "Weekend", "Weekday")</f>
        <v>Weekday</v>
      </c>
      <c r="J199" t="str">
        <f>TEXT(agg_orders_daily_revenue[[#This Row],[Order_Date]], "ddd")</f>
        <v>Tue</v>
      </c>
    </row>
    <row r="200" spans="1:10" x14ac:dyDescent="0.4">
      <c r="A200" s="1">
        <v>45490</v>
      </c>
      <c r="B200">
        <v>494495</v>
      </c>
      <c r="C200">
        <v>526774.86</v>
      </c>
      <c r="D200">
        <v>412</v>
      </c>
      <c r="E200">
        <f>YEAR(agg_orders_daily_revenue[[#This Row],[Order_Date]])</f>
        <v>2024</v>
      </c>
      <c r="F200">
        <f>MONTH(agg_orders_daily_revenue[[#This Row],[Order_Date]])</f>
        <v>7</v>
      </c>
      <c r="G200" t="str">
        <f>TEXT(agg_orders_daily_revenue[[#This Row],[Order_Date]],"yyyy-mm")</f>
        <v>2024-07</v>
      </c>
      <c r="H200">
        <f>WEEKDAY(agg_orders_daily_revenue[[#This Row],[Order_Date]],2)</f>
        <v>3</v>
      </c>
      <c r="I200" t="str">
        <f>IF(OR(agg_orders_daily_revenue[[#This Row],[Weekday_Num]]=6, agg_orders_daily_revenue[[#This Row],[Weekday_Num]]=7), "Weekend", "Weekday")</f>
        <v>Weekday</v>
      </c>
      <c r="J200" t="str">
        <f>TEXT(agg_orders_daily_revenue[[#This Row],[Order_Date]], "ddd")</f>
        <v>Wed</v>
      </c>
    </row>
    <row r="201" spans="1:10" x14ac:dyDescent="0.4">
      <c r="A201" s="1">
        <v>45491</v>
      </c>
      <c r="B201">
        <v>504106</v>
      </c>
      <c r="C201">
        <v>522691.57</v>
      </c>
      <c r="D201">
        <v>400</v>
      </c>
      <c r="E201">
        <f>YEAR(agg_orders_daily_revenue[[#This Row],[Order_Date]])</f>
        <v>2024</v>
      </c>
      <c r="F201">
        <f>MONTH(agg_orders_daily_revenue[[#This Row],[Order_Date]])</f>
        <v>7</v>
      </c>
      <c r="G201" t="str">
        <f>TEXT(agg_orders_daily_revenue[[#This Row],[Order_Date]],"yyyy-mm")</f>
        <v>2024-07</v>
      </c>
      <c r="H201">
        <f>WEEKDAY(agg_orders_daily_revenue[[#This Row],[Order_Date]],2)</f>
        <v>4</v>
      </c>
      <c r="I201" t="str">
        <f>IF(OR(agg_orders_daily_revenue[[#This Row],[Weekday_Num]]=6, agg_orders_daily_revenue[[#This Row],[Weekday_Num]]=7), "Weekend", "Weekday")</f>
        <v>Weekday</v>
      </c>
      <c r="J201" t="str">
        <f>TEXT(agg_orders_daily_revenue[[#This Row],[Order_Date]], "ddd")</f>
        <v>Thu</v>
      </c>
    </row>
    <row r="202" spans="1:10" x14ac:dyDescent="0.4">
      <c r="A202" s="1">
        <v>45492</v>
      </c>
      <c r="B202">
        <v>530520</v>
      </c>
      <c r="C202">
        <v>518847.43</v>
      </c>
      <c r="D202">
        <v>435</v>
      </c>
      <c r="E202">
        <f>YEAR(agg_orders_daily_revenue[[#This Row],[Order_Date]])</f>
        <v>2024</v>
      </c>
      <c r="F202">
        <f>MONTH(agg_orders_daily_revenue[[#This Row],[Order_Date]])</f>
        <v>7</v>
      </c>
      <c r="G202" t="str">
        <f>TEXT(agg_orders_daily_revenue[[#This Row],[Order_Date]],"yyyy-mm")</f>
        <v>2024-07</v>
      </c>
      <c r="H202">
        <f>WEEKDAY(agg_orders_daily_revenue[[#This Row],[Order_Date]],2)</f>
        <v>5</v>
      </c>
      <c r="I202" t="str">
        <f>IF(OR(agg_orders_daily_revenue[[#This Row],[Weekday_Num]]=6, agg_orders_daily_revenue[[#This Row],[Weekday_Num]]=7), "Weekend", "Weekday")</f>
        <v>Weekday</v>
      </c>
      <c r="J202" t="str">
        <f>TEXT(agg_orders_daily_revenue[[#This Row],[Order_Date]], "ddd")</f>
        <v>Fri</v>
      </c>
    </row>
    <row r="203" spans="1:10" x14ac:dyDescent="0.4">
      <c r="A203" s="1">
        <v>45493</v>
      </c>
      <c r="B203">
        <v>536303</v>
      </c>
      <c r="C203">
        <v>521182.43</v>
      </c>
      <c r="D203">
        <v>414</v>
      </c>
      <c r="E203">
        <f>YEAR(agg_orders_daily_revenue[[#This Row],[Order_Date]])</f>
        <v>2024</v>
      </c>
      <c r="F203">
        <f>MONTH(agg_orders_daily_revenue[[#This Row],[Order_Date]])</f>
        <v>7</v>
      </c>
      <c r="G203" t="str">
        <f>TEXT(agg_orders_daily_revenue[[#This Row],[Order_Date]],"yyyy-mm")</f>
        <v>2024-07</v>
      </c>
      <c r="H203">
        <f>WEEKDAY(agg_orders_daily_revenue[[#This Row],[Order_Date]],2)</f>
        <v>6</v>
      </c>
      <c r="I203" t="str">
        <f>IF(OR(agg_orders_daily_revenue[[#This Row],[Weekday_Num]]=6, agg_orders_daily_revenue[[#This Row],[Weekday_Num]]=7), "Weekend", "Weekday")</f>
        <v>Weekend</v>
      </c>
      <c r="J203" t="str">
        <f>TEXT(agg_orders_daily_revenue[[#This Row],[Order_Date]], "ddd")</f>
        <v>Sat</v>
      </c>
    </row>
    <row r="204" spans="1:10" x14ac:dyDescent="0.4">
      <c r="A204" s="1">
        <v>45494</v>
      </c>
      <c r="B204">
        <v>550628</v>
      </c>
      <c r="C204">
        <v>526203.29</v>
      </c>
      <c r="D204">
        <v>440</v>
      </c>
      <c r="E204">
        <f>YEAR(agg_orders_daily_revenue[[#This Row],[Order_Date]])</f>
        <v>2024</v>
      </c>
      <c r="F204">
        <f>MONTH(agg_orders_daily_revenue[[#This Row],[Order_Date]])</f>
        <v>7</v>
      </c>
      <c r="G204" t="str">
        <f>TEXT(agg_orders_daily_revenue[[#This Row],[Order_Date]],"yyyy-mm")</f>
        <v>2024-07</v>
      </c>
      <c r="H204">
        <f>WEEKDAY(agg_orders_daily_revenue[[#This Row],[Order_Date]],2)</f>
        <v>7</v>
      </c>
      <c r="I204" t="str">
        <f>IF(OR(agg_orders_daily_revenue[[#This Row],[Weekday_Num]]=6, agg_orders_daily_revenue[[#This Row],[Weekday_Num]]=7), "Weekend", "Weekday")</f>
        <v>Weekend</v>
      </c>
      <c r="J204" t="str">
        <f>TEXT(agg_orders_daily_revenue[[#This Row],[Order_Date]], "ddd")</f>
        <v>Sun</v>
      </c>
    </row>
    <row r="205" spans="1:10" x14ac:dyDescent="0.4">
      <c r="A205" s="1">
        <v>45495</v>
      </c>
      <c r="B205">
        <v>534668</v>
      </c>
      <c r="C205">
        <v>529018.56999999995</v>
      </c>
      <c r="D205">
        <v>434</v>
      </c>
      <c r="E205">
        <f>YEAR(agg_orders_daily_revenue[[#This Row],[Order_Date]])</f>
        <v>2024</v>
      </c>
      <c r="F205">
        <f>MONTH(agg_orders_daily_revenue[[#This Row],[Order_Date]])</f>
        <v>7</v>
      </c>
      <c r="G205" t="str">
        <f>TEXT(agg_orders_daily_revenue[[#This Row],[Order_Date]],"yyyy-mm")</f>
        <v>2024-07</v>
      </c>
      <c r="H205">
        <f>WEEKDAY(agg_orders_daily_revenue[[#This Row],[Order_Date]],2)</f>
        <v>1</v>
      </c>
      <c r="I205" t="str">
        <f>IF(OR(agg_orders_daily_revenue[[#This Row],[Weekday_Num]]=6, agg_orders_daily_revenue[[#This Row],[Weekday_Num]]=7), "Weekend", "Weekday")</f>
        <v>Weekday</v>
      </c>
      <c r="J205" t="str">
        <f>TEXT(agg_orders_daily_revenue[[#This Row],[Order_Date]], "ddd")</f>
        <v>Mon</v>
      </c>
    </row>
    <row r="206" spans="1:10" x14ac:dyDescent="0.4">
      <c r="A206" s="1">
        <v>45496</v>
      </c>
      <c r="B206">
        <v>550494</v>
      </c>
      <c r="C206">
        <v>528744.86</v>
      </c>
      <c r="D206">
        <v>429</v>
      </c>
      <c r="E206">
        <f>YEAR(agg_orders_daily_revenue[[#This Row],[Order_Date]])</f>
        <v>2024</v>
      </c>
      <c r="F206">
        <f>MONTH(agg_orders_daily_revenue[[#This Row],[Order_Date]])</f>
        <v>7</v>
      </c>
      <c r="G206" t="str">
        <f>TEXT(agg_orders_daily_revenue[[#This Row],[Order_Date]],"yyyy-mm")</f>
        <v>2024-07</v>
      </c>
      <c r="H206">
        <f>WEEKDAY(agg_orders_daily_revenue[[#This Row],[Order_Date]],2)</f>
        <v>2</v>
      </c>
      <c r="I206" t="str">
        <f>IF(OR(agg_orders_daily_revenue[[#This Row],[Weekday_Num]]=6, agg_orders_daily_revenue[[#This Row],[Weekday_Num]]=7), "Weekend", "Weekday")</f>
        <v>Weekday</v>
      </c>
      <c r="J206" t="str">
        <f>TEXT(agg_orders_daily_revenue[[#This Row],[Order_Date]], "ddd")</f>
        <v>Tue</v>
      </c>
    </row>
    <row r="207" spans="1:10" x14ac:dyDescent="0.4">
      <c r="A207" s="1">
        <v>45497</v>
      </c>
      <c r="B207">
        <v>500649</v>
      </c>
      <c r="C207">
        <v>529624</v>
      </c>
      <c r="D207">
        <v>399</v>
      </c>
      <c r="E207">
        <f>YEAR(agg_orders_daily_revenue[[#This Row],[Order_Date]])</f>
        <v>2024</v>
      </c>
      <c r="F207">
        <f>MONTH(agg_orders_daily_revenue[[#This Row],[Order_Date]])</f>
        <v>7</v>
      </c>
      <c r="G207" t="str">
        <f>TEXT(agg_orders_daily_revenue[[#This Row],[Order_Date]],"yyyy-mm")</f>
        <v>2024-07</v>
      </c>
      <c r="H207">
        <f>WEEKDAY(agg_orders_daily_revenue[[#This Row],[Order_Date]],2)</f>
        <v>3</v>
      </c>
      <c r="I207" t="str">
        <f>IF(OR(agg_orders_daily_revenue[[#This Row],[Weekday_Num]]=6, agg_orders_daily_revenue[[#This Row],[Weekday_Num]]=7), "Weekend", "Weekday")</f>
        <v>Weekday</v>
      </c>
      <c r="J207" t="str">
        <f>TEXT(agg_orders_daily_revenue[[#This Row],[Order_Date]], "ddd")</f>
        <v>Wed</v>
      </c>
    </row>
    <row r="208" spans="1:10" x14ac:dyDescent="0.4">
      <c r="A208" s="1">
        <v>45498</v>
      </c>
      <c r="B208">
        <v>467739</v>
      </c>
      <c r="C208">
        <v>524428.71</v>
      </c>
      <c r="D208">
        <v>381</v>
      </c>
      <c r="E208">
        <f>YEAR(agg_orders_daily_revenue[[#This Row],[Order_Date]])</f>
        <v>2024</v>
      </c>
      <c r="F208">
        <f>MONTH(agg_orders_daily_revenue[[#This Row],[Order_Date]])</f>
        <v>7</v>
      </c>
      <c r="G208" t="str">
        <f>TEXT(agg_orders_daily_revenue[[#This Row],[Order_Date]],"yyyy-mm")</f>
        <v>2024-07</v>
      </c>
      <c r="H208">
        <f>WEEKDAY(agg_orders_daily_revenue[[#This Row],[Order_Date]],2)</f>
        <v>4</v>
      </c>
      <c r="I208" t="str">
        <f>IF(OR(agg_orders_daily_revenue[[#This Row],[Weekday_Num]]=6, agg_orders_daily_revenue[[#This Row],[Weekday_Num]]=7), "Weekend", "Weekday")</f>
        <v>Weekday</v>
      </c>
      <c r="J208" t="str">
        <f>TEXT(agg_orders_daily_revenue[[#This Row],[Order_Date]], "ddd")</f>
        <v>Thu</v>
      </c>
    </row>
    <row r="209" spans="1:10" x14ac:dyDescent="0.4">
      <c r="A209" s="1">
        <v>45499</v>
      </c>
      <c r="B209">
        <v>538519</v>
      </c>
      <c r="C209">
        <v>525571.43000000005</v>
      </c>
      <c r="D209">
        <v>434</v>
      </c>
      <c r="E209">
        <f>YEAR(agg_orders_daily_revenue[[#This Row],[Order_Date]])</f>
        <v>2024</v>
      </c>
      <c r="F209">
        <f>MONTH(agg_orders_daily_revenue[[#This Row],[Order_Date]])</f>
        <v>7</v>
      </c>
      <c r="G209" t="str">
        <f>TEXT(agg_orders_daily_revenue[[#This Row],[Order_Date]],"yyyy-mm")</f>
        <v>2024-07</v>
      </c>
      <c r="H209">
        <f>WEEKDAY(agg_orders_daily_revenue[[#This Row],[Order_Date]],2)</f>
        <v>5</v>
      </c>
      <c r="I209" t="str">
        <f>IF(OR(agg_orders_daily_revenue[[#This Row],[Weekday_Num]]=6, agg_orders_daily_revenue[[#This Row],[Weekday_Num]]=7), "Weekend", "Weekday")</f>
        <v>Weekday</v>
      </c>
      <c r="J209" t="str">
        <f>TEXT(agg_orders_daily_revenue[[#This Row],[Order_Date]], "ddd")</f>
        <v>Fri</v>
      </c>
    </row>
    <row r="210" spans="1:10" x14ac:dyDescent="0.4">
      <c r="A210" s="1">
        <v>45500</v>
      </c>
      <c r="B210">
        <v>506324</v>
      </c>
      <c r="C210">
        <v>521288.71</v>
      </c>
      <c r="D210">
        <v>418</v>
      </c>
      <c r="E210">
        <f>YEAR(agg_orders_daily_revenue[[#This Row],[Order_Date]])</f>
        <v>2024</v>
      </c>
      <c r="F210">
        <f>MONTH(agg_orders_daily_revenue[[#This Row],[Order_Date]])</f>
        <v>7</v>
      </c>
      <c r="G210" t="str">
        <f>TEXT(agg_orders_daily_revenue[[#This Row],[Order_Date]],"yyyy-mm")</f>
        <v>2024-07</v>
      </c>
      <c r="H210">
        <f>WEEKDAY(agg_orders_daily_revenue[[#This Row],[Order_Date]],2)</f>
        <v>6</v>
      </c>
      <c r="I210" t="str">
        <f>IF(OR(agg_orders_daily_revenue[[#This Row],[Weekday_Num]]=6, agg_orders_daily_revenue[[#This Row],[Weekday_Num]]=7), "Weekend", "Weekday")</f>
        <v>Weekend</v>
      </c>
      <c r="J210" t="str">
        <f>TEXT(agg_orders_daily_revenue[[#This Row],[Order_Date]], "ddd")</f>
        <v>Sat</v>
      </c>
    </row>
    <row r="211" spans="1:10" x14ac:dyDescent="0.4">
      <c r="A211" s="1">
        <v>45501</v>
      </c>
      <c r="B211">
        <v>515948</v>
      </c>
      <c r="C211">
        <v>516334.43</v>
      </c>
      <c r="D211">
        <v>414</v>
      </c>
      <c r="E211">
        <f>YEAR(agg_orders_daily_revenue[[#This Row],[Order_Date]])</f>
        <v>2024</v>
      </c>
      <c r="F211">
        <f>MONTH(agg_orders_daily_revenue[[#This Row],[Order_Date]])</f>
        <v>7</v>
      </c>
      <c r="G211" t="str">
        <f>TEXT(agg_orders_daily_revenue[[#This Row],[Order_Date]],"yyyy-mm")</f>
        <v>2024-07</v>
      </c>
      <c r="H211">
        <f>WEEKDAY(agg_orders_daily_revenue[[#This Row],[Order_Date]],2)</f>
        <v>7</v>
      </c>
      <c r="I211" t="str">
        <f>IF(OR(agg_orders_daily_revenue[[#This Row],[Weekday_Num]]=6, agg_orders_daily_revenue[[#This Row],[Weekday_Num]]=7), "Weekend", "Weekday")</f>
        <v>Weekend</v>
      </c>
      <c r="J211" t="str">
        <f>TEXT(agg_orders_daily_revenue[[#This Row],[Order_Date]], "ddd")</f>
        <v>Sun</v>
      </c>
    </row>
    <row r="212" spans="1:10" x14ac:dyDescent="0.4">
      <c r="A212" s="1">
        <v>45502</v>
      </c>
      <c r="B212">
        <v>534319</v>
      </c>
      <c r="C212">
        <v>516284.57</v>
      </c>
      <c r="D212">
        <v>430</v>
      </c>
      <c r="E212">
        <f>YEAR(agg_orders_daily_revenue[[#This Row],[Order_Date]])</f>
        <v>2024</v>
      </c>
      <c r="F212">
        <f>MONTH(agg_orders_daily_revenue[[#This Row],[Order_Date]])</f>
        <v>7</v>
      </c>
      <c r="G212" t="str">
        <f>TEXT(agg_orders_daily_revenue[[#This Row],[Order_Date]],"yyyy-mm")</f>
        <v>2024-07</v>
      </c>
      <c r="H212">
        <f>WEEKDAY(agg_orders_daily_revenue[[#This Row],[Order_Date]],2)</f>
        <v>1</v>
      </c>
      <c r="I212" t="str">
        <f>IF(OR(agg_orders_daily_revenue[[#This Row],[Weekday_Num]]=6, agg_orders_daily_revenue[[#This Row],[Weekday_Num]]=7), "Weekend", "Weekday")</f>
        <v>Weekday</v>
      </c>
      <c r="J212" t="str">
        <f>TEXT(agg_orders_daily_revenue[[#This Row],[Order_Date]], "ddd")</f>
        <v>Mon</v>
      </c>
    </row>
    <row r="213" spans="1:10" x14ac:dyDescent="0.4">
      <c r="A213" s="1">
        <v>45503</v>
      </c>
      <c r="B213">
        <v>462396</v>
      </c>
      <c r="C213">
        <v>503699.14</v>
      </c>
      <c r="D213">
        <v>366</v>
      </c>
      <c r="E213">
        <f>YEAR(agg_orders_daily_revenue[[#This Row],[Order_Date]])</f>
        <v>2024</v>
      </c>
      <c r="F213">
        <f>MONTH(agg_orders_daily_revenue[[#This Row],[Order_Date]])</f>
        <v>7</v>
      </c>
      <c r="G213" t="str">
        <f>TEXT(agg_orders_daily_revenue[[#This Row],[Order_Date]],"yyyy-mm")</f>
        <v>2024-07</v>
      </c>
      <c r="H213">
        <f>WEEKDAY(agg_orders_daily_revenue[[#This Row],[Order_Date]],2)</f>
        <v>2</v>
      </c>
      <c r="I213" t="str">
        <f>IF(OR(agg_orders_daily_revenue[[#This Row],[Weekday_Num]]=6, agg_orders_daily_revenue[[#This Row],[Weekday_Num]]=7), "Weekend", "Weekday")</f>
        <v>Weekday</v>
      </c>
      <c r="J213" t="str">
        <f>TEXT(agg_orders_daily_revenue[[#This Row],[Order_Date]], "ddd")</f>
        <v>Tue</v>
      </c>
    </row>
    <row r="214" spans="1:10" x14ac:dyDescent="0.4">
      <c r="A214" s="1">
        <v>45504</v>
      </c>
      <c r="B214">
        <v>460182</v>
      </c>
      <c r="C214">
        <v>497918.14</v>
      </c>
      <c r="D214">
        <v>379</v>
      </c>
      <c r="E214">
        <f>YEAR(agg_orders_daily_revenue[[#This Row],[Order_Date]])</f>
        <v>2024</v>
      </c>
      <c r="F214">
        <f>MONTH(agg_orders_daily_revenue[[#This Row],[Order_Date]])</f>
        <v>7</v>
      </c>
      <c r="G214" t="str">
        <f>TEXT(agg_orders_daily_revenue[[#This Row],[Order_Date]],"yyyy-mm")</f>
        <v>2024-07</v>
      </c>
      <c r="H214">
        <f>WEEKDAY(agg_orders_daily_revenue[[#This Row],[Order_Date]],2)</f>
        <v>3</v>
      </c>
      <c r="I214" t="str">
        <f>IF(OR(agg_orders_daily_revenue[[#This Row],[Weekday_Num]]=6, agg_orders_daily_revenue[[#This Row],[Weekday_Num]]=7), "Weekend", "Weekday")</f>
        <v>Weekday</v>
      </c>
      <c r="J214" t="str">
        <f>TEXT(agg_orders_daily_revenue[[#This Row],[Order_Date]], "ddd")</f>
        <v>Wed</v>
      </c>
    </row>
    <row r="215" spans="1:10" x14ac:dyDescent="0.4">
      <c r="A215" s="1">
        <v>45505</v>
      </c>
      <c r="B215">
        <v>473688</v>
      </c>
      <c r="C215">
        <v>498768</v>
      </c>
      <c r="D215">
        <v>379</v>
      </c>
      <c r="E215">
        <f>YEAR(agg_orders_daily_revenue[[#This Row],[Order_Date]])</f>
        <v>2024</v>
      </c>
      <c r="F215">
        <f>MONTH(agg_orders_daily_revenue[[#This Row],[Order_Date]])</f>
        <v>8</v>
      </c>
      <c r="G215" t="str">
        <f>TEXT(agg_orders_daily_revenue[[#This Row],[Order_Date]],"yyyy-mm")</f>
        <v>2024-08</v>
      </c>
      <c r="H215">
        <f>WEEKDAY(agg_orders_daily_revenue[[#This Row],[Order_Date]],2)</f>
        <v>4</v>
      </c>
      <c r="I215" t="str">
        <f>IF(OR(agg_orders_daily_revenue[[#This Row],[Weekday_Num]]=6, agg_orders_daily_revenue[[#This Row],[Weekday_Num]]=7), "Weekend", "Weekday")</f>
        <v>Weekday</v>
      </c>
      <c r="J215" t="str">
        <f>TEXT(agg_orders_daily_revenue[[#This Row],[Order_Date]], "ddd")</f>
        <v>Thu</v>
      </c>
    </row>
    <row r="216" spans="1:10" x14ac:dyDescent="0.4">
      <c r="A216" s="1">
        <v>45506</v>
      </c>
      <c r="B216">
        <v>546110</v>
      </c>
      <c r="C216">
        <v>499852.43</v>
      </c>
      <c r="D216">
        <v>447</v>
      </c>
      <c r="E216">
        <f>YEAR(agg_orders_daily_revenue[[#This Row],[Order_Date]])</f>
        <v>2024</v>
      </c>
      <c r="F216">
        <f>MONTH(agg_orders_daily_revenue[[#This Row],[Order_Date]])</f>
        <v>8</v>
      </c>
      <c r="G216" t="str">
        <f>TEXT(agg_orders_daily_revenue[[#This Row],[Order_Date]],"yyyy-mm")</f>
        <v>2024-08</v>
      </c>
      <c r="H216">
        <f>WEEKDAY(agg_orders_daily_revenue[[#This Row],[Order_Date]],2)</f>
        <v>5</v>
      </c>
      <c r="I216" t="str">
        <f>IF(OR(agg_orders_daily_revenue[[#This Row],[Weekday_Num]]=6, agg_orders_daily_revenue[[#This Row],[Weekday_Num]]=7), "Weekend", "Weekday")</f>
        <v>Weekday</v>
      </c>
      <c r="J216" t="str">
        <f>TEXT(agg_orders_daily_revenue[[#This Row],[Order_Date]], "ddd")</f>
        <v>Fri</v>
      </c>
    </row>
    <row r="217" spans="1:10" x14ac:dyDescent="0.4">
      <c r="A217" s="1">
        <v>45507</v>
      </c>
      <c r="B217">
        <v>528382</v>
      </c>
      <c r="C217">
        <v>503003.57</v>
      </c>
      <c r="D217">
        <v>400</v>
      </c>
      <c r="E217">
        <f>YEAR(agg_orders_daily_revenue[[#This Row],[Order_Date]])</f>
        <v>2024</v>
      </c>
      <c r="F217">
        <f>MONTH(agg_orders_daily_revenue[[#This Row],[Order_Date]])</f>
        <v>8</v>
      </c>
      <c r="G217" t="str">
        <f>TEXT(agg_orders_daily_revenue[[#This Row],[Order_Date]],"yyyy-mm")</f>
        <v>2024-08</v>
      </c>
      <c r="H217">
        <f>WEEKDAY(agg_orders_daily_revenue[[#This Row],[Order_Date]],2)</f>
        <v>6</v>
      </c>
      <c r="I217" t="str">
        <f>IF(OR(agg_orders_daily_revenue[[#This Row],[Weekday_Num]]=6, agg_orders_daily_revenue[[#This Row],[Weekday_Num]]=7), "Weekend", "Weekday")</f>
        <v>Weekend</v>
      </c>
      <c r="J217" t="str">
        <f>TEXT(agg_orders_daily_revenue[[#This Row],[Order_Date]], "ddd")</f>
        <v>Sat</v>
      </c>
    </row>
    <row r="218" spans="1:10" x14ac:dyDescent="0.4">
      <c r="A218" s="1">
        <v>45508</v>
      </c>
      <c r="B218">
        <v>524759</v>
      </c>
      <c r="C218">
        <v>504262.29</v>
      </c>
      <c r="D218">
        <v>415</v>
      </c>
      <c r="E218">
        <f>YEAR(agg_orders_daily_revenue[[#This Row],[Order_Date]])</f>
        <v>2024</v>
      </c>
      <c r="F218">
        <f>MONTH(agg_orders_daily_revenue[[#This Row],[Order_Date]])</f>
        <v>8</v>
      </c>
      <c r="G218" t="str">
        <f>TEXT(agg_orders_daily_revenue[[#This Row],[Order_Date]],"yyyy-mm")</f>
        <v>2024-08</v>
      </c>
      <c r="H218">
        <f>WEEKDAY(agg_orders_daily_revenue[[#This Row],[Order_Date]],2)</f>
        <v>7</v>
      </c>
      <c r="I218" t="str">
        <f>IF(OR(agg_orders_daily_revenue[[#This Row],[Weekday_Num]]=6, agg_orders_daily_revenue[[#This Row],[Weekday_Num]]=7), "Weekend", "Weekday")</f>
        <v>Weekend</v>
      </c>
      <c r="J218" t="str">
        <f>TEXT(agg_orders_daily_revenue[[#This Row],[Order_Date]], "ddd")</f>
        <v>Sun</v>
      </c>
    </row>
    <row r="219" spans="1:10" x14ac:dyDescent="0.4">
      <c r="A219" s="1">
        <v>45509</v>
      </c>
      <c r="B219">
        <v>534258</v>
      </c>
      <c r="C219">
        <v>504253.57</v>
      </c>
      <c r="D219">
        <v>410</v>
      </c>
      <c r="E219">
        <f>YEAR(agg_orders_daily_revenue[[#This Row],[Order_Date]])</f>
        <v>2024</v>
      </c>
      <c r="F219">
        <f>MONTH(agg_orders_daily_revenue[[#This Row],[Order_Date]])</f>
        <v>8</v>
      </c>
      <c r="G219" t="str">
        <f>TEXT(agg_orders_daily_revenue[[#This Row],[Order_Date]],"yyyy-mm")</f>
        <v>2024-08</v>
      </c>
      <c r="H219">
        <f>WEEKDAY(agg_orders_daily_revenue[[#This Row],[Order_Date]],2)</f>
        <v>1</v>
      </c>
      <c r="I219" t="str">
        <f>IF(OR(agg_orders_daily_revenue[[#This Row],[Weekday_Num]]=6, agg_orders_daily_revenue[[#This Row],[Weekday_Num]]=7), "Weekend", "Weekday")</f>
        <v>Weekday</v>
      </c>
      <c r="J219" t="str">
        <f>TEXT(agg_orders_daily_revenue[[#This Row],[Order_Date]], "ddd")</f>
        <v>Mon</v>
      </c>
    </row>
    <row r="220" spans="1:10" x14ac:dyDescent="0.4">
      <c r="A220" s="1">
        <v>45510</v>
      </c>
      <c r="B220">
        <v>553757</v>
      </c>
      <c r="C220">
        <v>517305.14</v>
      </c>
      <c r="D220">
        <v>446</v>
      </c>
      <c r="E220">
        <f>YEAR(agg_orders_daily_revenue[[#This Row],[Order_Date]])</f>
        <v>2024</v>
      </c>
      <c r="F220">
        <f>MONTH(agg_orders_daily_revenue[[#This Row],[Order_Date]])</f>
        <v>8</v>
      </c>
      <c r="G220" t="str">
        <f>TEXT(agg_orders_daily_revenue[[#This Row],[Order_Date]],"yyyy-mm")</f>
        <v>2024-08</v>
      </c>
      <c r="H220">
        <f>WEEKDAY(agg_orders_daily_revenue[[#This Row],[Order_Date]],2)</f>
        <v>2</v>
      </c>
      <c r="I220" t="str">
        <f>IF(OR(agg_orders_daily_revenue[[#This Row],[Weekday_Num]]=6, agg_orders_daily_revenue[[#This Row],[Weekday_Num]]=7), "Weekend", "Weekday")</f>
        <v>Weekday</v>
      </c>
      <c r="J220" t="str">
        <f>TEXT(agg_orders_daily_revenue[[#This Row],[Order_Date]], "ddd")</f>
        <v>Tue</v>
      </c>
    </row>
    <row r="221" spans="1:10" x14ac:dyDescent="0.4">
      <c r="A221" s="1">
        <v>45511</v>
      </c>
      <c r="B221">
        <v>485215</v>
      </c>
      <c r="C221">
        <v>520881.29</v>
      </c>
      <c r="D221">
        <v>393</v>
      </c>
      <c r="E221">
        <f>YEAR(agg_orders_daily_revenue[[#This Row],[Order_Date]])</f>
        <v>2024</v>
      </c>
      <c r="F221">
        <f>MONTH(agg_orders_daily_revenue[[#This Row],[Order_Date]])</f>
        <v>8</v>
      </c>
      <c r="G221" t="str">
        <f>TEXT(agg_orders_daily_revenue[[#This Row],[Order_Date]],"yyyy-mm")</f>
        <v>2024-08</v>
      </c>
      <c r="H221">
        <f>WEEKDAY(agg_orders_daily_revenue[[#This Row],[Order_Date]],2)</f>
        <v>3</v>
      </c>
      <c r="I221" t="str">
        <f>IF(OR(agg_orders_daily_revenue[[#This Row],[Weekday_Num]]=6, agg_orders_daily_revenue[[#This Row],[Weekday_Num]]=7), "Weekend", "Weekday")</f>
        <v>Weekday</v>
      </c>
      <c r="J221" t="str">
        <f>TEXT(agg_orders_daily_revenue[[#This Row],[Order_Date]], "ddd")</f>
        <v>Wed</v>
      </c>
    </row>
    <row r="222" spans="1:10" x14ac:dyDescent="0.4">
      <c r="A222" s="1">
        <v>45512</v>
      </c>
      <c r="B222">
        <v>479045</v>
      </c>
      <c r="C222">
        <v>521646.57</v>
      </c>
      <c r="D222">
        <v>387</v>
      </c>
      <c r="E222">
        <f>YEAR(agg_orders_daily_revenue[[#This Row],[Order_Date]])</f>
        <v>2024</v>
      </c>
      <c r="F222">
        <f>MONTH(agg_orders_daily_revenue[[#This Row],[Order_Date]])</f>
        <v>8</v>
      </c>
      <c r="G222" t="str">
        <f>TEXT(agg_orders_daily_revenue[[#This Row],[Order_Date]],"yyyy-mm")</f>
        <v>2024-08</v>
      </c>
      <c r="H222">
        <f>WEEKDAY(agg_orders_daily_revenue[[#This Row],[Order_Date]],2)</f>
        <v>4</v>
      </c>
      <c r="I222" t="str">
        <f>IF(OR(agg_orders_daily_revenue[[#This Row],[Weekday_Num]]=6, agg_orders_daily_revenue[[#This Row],[Weekday_Num]]=7), "Weekend", "Weekday")</f>
        <v>Weekday</v>
      </c>
      <c r="J222" t="str">
        <f>TEXT(agg_orders_daily_revenue[[#This Row],[Order_Date]], "ddd")</f>
        <v>Thu</v>
      </c>
    </row>
    <row r="223" spans="1:10" x14ac:dyDescent="0.4">
      <c r="A223" s="1">
        <v>45513</v>
      </c>
      <c r="B223">
        <v>549078</v>
      </c>
      <c r="C223">
        <v>522070.57</v>
      </c>
      <c r="D223">
        <v>419</v>
      </c>
      <c r="E223">
        <f>YEAR(agg_orders_daily_revenue[[#This Row],[Order_Date]])</f>
        <v>2024</v>
      </c>
      <c r="F223">
        <f>MONTH(agg_orders_daily_revenue[[#This Row],[Order_Date]])</f>
        <v>8</v>
      </c>
      <c r="G223" t="str">
        <f>TEXT(agg_orders_daily_revenue[[#This Row],[Order_Date]],"yyyy-mm")</f>
        <v>2024-08</v>
      </c>
      <c r="H223">
        <f>WEEKDAY(agg_orders_daily_revenue[[#This Row],[Order_Date]],2)</f>
        <v>5</v>
      </c>
      <c r="I223" t="str">
        <f>IF(OR(agg_orders_daily_revenue[[#This Row],[Weekday_Num]]=6, agg_orders_daily_revenue[[#This Row],[Weekday_Num]]=7), "Weekend", "Weekday")</f>
        <v>Weekday</v>
      </c>
      <c r="J223" t="str">
        <f>TEXT(agg_orders_daily_revenue[[#This Row],[Order_Date]], "ddd")</f>
        <v>Fri</v>
      </c>
    </row>
    <row r="224" spans="1:10" x14ac:dyDescent="0.4">
      <c r="A224" s="1">
        <v>45514</v>
      </c>
      <c r="B224">
        <v>467731</v>
      </c>
      <c r="C224">
        <v>513406.14</v>
      </c>
      <c r="D224">
        <v>391</v>
      </c>
      <c r="E224">
        <f>YEAR(agg_orders_daily_revenue[[#This Row],[Order_Date]])</f>
        <v>2024</v>
      </c>
      <c r="F224">
        <f>MONTH(agg_orders_daily_revenue[[#This Row],[Order_Date]])</f>
        <v>8</v>
      </c>
      <c r="G224" t="str">
        <f>TEXT(agg_orders_daily_revenue[[#This Row],[Order_Date]],"yyyy-mm")</f>
        <v>2024-08</v>
      </c>
      <c r="H224">
        <f>WEEKDAY(agg_orders_daily_revenue[[#This Row],[Order_Date]],2)</f>
        <v>6</v>
      </c>
      <c r="I224" t="str">
        <f>IF(OR(agg_orders_daily_revenue[[#This Row],[Weekday_Num]]=6, agg_orders_daily_revenue[[#This Row],[Weekday_Num]]=7), "Weekend", "Weekday")</f>
        <v>Weekend</v>
      </c>
      <c r="J224" t="str">
        <f>TEXT(agg_orders_daily_revenue[[#This Row],[Order_Date]], "ddd")</f>
        <v>Sat</v>
      </c>
    </row>
    <row r="225" spans="1:10" x14ac:dyDescent="0.4">
      <c r="A225" s="1">
        <v>45515</v>
      </c>
      <c r="B225">
        <v>544658</v>
      </c>
      <c r="C225">
        <v>516248.86</v>
      </c>
      <c r="D225">
        <v>439</v>
      </c>
      <c r="E225">
        <f>YEAR(agg_orders_daily_revenue[[#This Row],[Order_Date]])</f>
        <v>2024</v>
      </c>
      <c r="F225">
        <f>MONTH(agg_orders_daily_revenue[[#This Row],[Order_Date]])</f>
        <v>8</v>
      </c>
      <c r="G225" t="str">
        <f>TEXT(agg_orders_daily_revenue[[#This Row],[Order_Date]],"yyyy-mm")</f>
        <v>2024-08</v>
      </c>
      <c r="H225">
        <f>WEEKDAY(agg_orders_daily_revenue[[#This Row],[Order_Date]],2)</f>
        <v>7</v>
      </c>
      <c r="I225" t="str">
        <f>IF(OR(agg_orders_daily_revenue[[#This Row],[Weekday_Num]]=6, agg_orders_daily_revenue[[#This Row],[Weekday_Num]]=7), "Weekend", "Weekday")</f>
        <v>Weekend</v>
      </c>
      <c r="J225" t="str">
        <f>TEXT(agg_orders_daily_revenue[[#This Row],[Order_Date]], "ddd")</f>
        <v>Sun</v>
      </c>
    </row>
    <row r="226" spans="1:10" x14ac:dyDescent="0.4">
      <c r="A226" s="1">
        <v>45516</v>
      </c>
      <c r="B226">
        <v>492042</v>
      </c>
      <c r="C226">
        <v>510218</v>
      </c>
      <c r="D226">
        <v>405</v>
      </c>
      <c r="E226">
        <f>YEAR(agg_orders_daily_revenue[[#This Row],[Order_Date]])</f>
        <v>2024</v>
      </c>
      <c r="F226">
        <f>MONTH(agg_orders_daily_revenue[[#This Row],[Order_Date]])</f>
        <v>8</v>
      </c>
      <c r="G226" t="str">
        <f>TEXT(agg_orders_daily_revenue[[#This Row],[Order_Date]],"yyyy-mm")</f>
        <v>2024-08</v>
      </c>
      <c r="H226">
        <f>WEEKDAY(agg_orders_daily_revenue[[#This Row],[Order_Date]],2)</f>
        <v>1</v>
      </c>
      <c r="I226" t="str">
        <f>IF(OR(agg_orders_daily_revenue[[#This Row],[Weekday_Num]]=6, agg_orders_daily_revenue[[#This Row],[Weekday_Num]]=7), "Weekend", "Weekday")</f>
        <v>Weekday</v>
      </c>
      <c r="J226" t="str">
        <f>TEXT(agg_orders_daily_revenue[[#This Row],[Order_Date]], "ddd")</f>
        <v>Mon</v>
      </c>
    </row>
    <row r="227" spans="1:10" x14ac:dyDescent="0.4">
      <c r="A227" s="1">
        <v>45517</v>
      </c>
      <c r="B227">
        <v>504447</v>
      </c>
      <c r="C227">
        <v>503173.71</v>
      </c>
      <c r="D227">
        <v>418</v>
      </c>
      <c r="E227">
        <f>YEAR(agg_orders_daily_revenue[[#This Row],[Order_Date]])</f>
        <v>2024</v>
      </c>
      <c r="F227">
        <f>MONTH(agg_orders_daily_revenue[[#This Row],[Order_Date]])</f>
        <v>8</v>
      </c>
      <c r="G227" t="str">
        <f>TEXT(agg_orders_daily_revenue[[#This Row],[Order_Date]],"yyyy-mm")</f>
        <v>2024-08</v>
      </c>
      <c r="H227">
        <f>WEEKDAY(agg_orders_daily_revenue[[#This Row],[Order_Date]],2)</f>
        <v>2</v>
      </c>
      <c r="I227" t="str">
        <f>IF(OR(agg_orders_daily_revenue[[#This Row],[Weekday_Num]]=6, agg_orders_daily_revenue[[#This Row],[Weekday_Num]]=7), "Weekend", "Weekday")</f>
        <v>Weekday</v>
      </c>
      <c r="J227" t="str">
        <f>TEXT(agg_orders_daily_revenue[[#This Row],[Order_Date]], "ddd")</f>
        <v>Tue</v>
      </c>
    </row>
    <row r="228" spans="1:10" x14ac:dyDescent="0.4">
      <c r="A228" s="1">
        <v>45518</v>
      </c>
      <c r="B228">
        <v>547088</v>
      </c>
      <c r="C228">
        <v>512012.71</v>
      </c>
      <c r="D228">
        <v>423</v>
      </c>
      <c r="E228">
        <f>YEAR(agg_orders_daily_revenue[[#This Row],[Order_Date]])</f>
        <v>2024</v>
      </c>
      <c r="F228">
        <f>MONTH(agg_orders_daily_revenue[[#This Row],[Order_Date]])</f>
        <v>8</v>
      </c>
      <c r="G228" t="str">
        <f>TEXT(agg_orders_daily_revenue[[#This Row],[Order_Date]],"yyyy-mm")</f>
        <v>2024-08</v>
      </c>
      <c r="H228">
        <f>WEEKDAY(agg_orders_daily_revenue[[#This Row],[Order_Date]],2)</f>
        <v>3</v>
      </c>
      <c r="I228" t="str">
        <f>IF(OR(agg_orders_daily_revenue[[#This Row],[Weekday_Num]]=6, agg_orders_daily_revenue[[#This Row],[Weekday_Num]]=7), "Weekend", "Weekday")</f>
        <v>Weekday</v>
      </c>
      <c r="J228" t="str">
        <f>TEXT(agg_orders_daily_revenue[[#This Row],[Order_Date]], "ddd")</f>
        <v>Wed</v>
      </c>
    </row>
    <row r="229" spans="1:10" x14ac:dyDescent="0.4">
      <c r="A229" s="1">
        <v>45519</v>
      </c>
      <c r="B229">
        <v>523110</v>
      </c>
      <c r="C229">
        <v>518307.71</v>
      </c>
      <c r="D229">
        <v>412</v>
      </c>
      <c r="E229">
        <f>YEAR(agg_orders_daily_revenue[[#This Row],[Order_Date]])</f>
        <v>2024</v>
      </c>
      <c r="F229">
        <f>MONTH(agg_orders_daily_revenue[[#This Row],[Order_Date]])</f>
        <v>8</v>
      </c>
      <c r="G229" t="str">
        <f>TEXT(agg_orders_daily_revenue[[#This Row],[Order_Date]],"yyyy-mm")</f>
        <v>2024-08</v>
      </c>
      <c r="H229">
        <f>WEEKDAY(agg_orders_daily_revenue[[#This Row],[Order_Date]],2)</f>
        <v>4</v>
      </c>
      <c r="I229" t="str">
        <f>IF(OR(agg_orders_daily_revenue[[#This Row],[Weekday_Num]]=6, agg_orders_daily_revenue[[#This Row],[Weekday_Num]]=7), "Weekend", "Weekday")</f>
        <v>Weekday</v>
      </c>
      <c r="J229" t="str">
        <f>TEXT(agg_orders_daily_revenue[[#This Row],[Order_Date]], "ddd")</f>
        <v>Thu</v>
      </c>
    </row>
    <row r="230" spans="1:10" x14ac:dyDescent="0.4">
      <c r="A230" s="1">
        <v>45520</v>
      </c>
      <c r="B230">
        <v>477877</v>
      </c>
      <c r="C230">
        <v>508136.14</v>
      </c>
      <c r="D230">
        <v>412</v>
      </c>
      <c r="E230">
        <f>YEAR(agg_orders_daily_revenue[[#This Row],[Order_Date]])</f>
        <v>2024</v>
      </c>
      <c r="F230">
        <f>MONTH(agg_orders_daily_revenue[[#This Row],[Order_Date]])</f>
        <v>8</v>
      </c>
      <c r="G230" t="str">
        <f>TEXT(agg_orders_daily_revenue[[#This Row],[Order_Date]],"yyyy-mm")</f>
        <v>2024-08</v>
      </c>
      <c r="H230">
        <f>WEEKDAY(agg_orders_daily_revenue[[#This Row],[Order_Date]],2)</f>
        <v>5</v>
      </c>
      <c r="I230" t="str">
        <f>IF(OR(agg_orders_daily_revenue[[#This Row],[Weekday_Num]]=6, agg_orders_daily_revenue[[#This Row],[Weekday_Num]]=7), "Weekend", "Weekday")</f>
        <v>Weekday</v>
      </c>
      <c r="J230" t="str">
        <f>TEXT(agg_orders_daily_revenue[[#This Row],[Order_Date]], "ddd")</f>
        <v>Fri</v>
      </c>
    </row>
    <row r="231" spans="1:10" x14ac:dyDescent="0.4">
      <c r="A231" s="1">
        <v>45521</v>
      </c>
      <c r="B231">
        <v>506541</v>
      </c>
      <c r="C231">
        <v>513680.43</v>
      </c>
      <c r="D231">
        <v>397</v>
      </c>
      <c r="E231">
        <f>YEAR(agg_orders_daily_revenue[[#This Row],[Order_Date]])</f>
        <v>2024</v>
      </c>
      <c r="F231">
        <f>MONTH(agg_orders_daily_revenue[[#This Row],[Order_Date]])</f>
        <v>8</v>
      </c>
      <c r="G231" t="str">
        <f>TEXT(agg_orders_daily_revenue[[#This Row],[Order_Date]],"yyyy-mm")</f>
        <v>2024-08</v>
      </c>
      <c r="H231">
        <f>WEEKDAY(agg_orders_daily_revenue[[#This Row],[Order_Date]],2)</f>
        <v>6</v>
      </c>
      <c r="I231" t="str">
        <f>IF(OR(agg_orders_daily_revenue[[#This Row],[Weekday_Num]]=6, agg_orders_daily_revenue[[#This Row],[Weekday_Num]]=7), "Weekend", "Weekday")</f>
        <v>Weekend</v>
      </c>
      <c r="J231" t="str">
        <f>TEXT(agg_orders_daily_revenue[[#This Row],[Order_Date]], "ddd")</f>
        <v>Sat</v>
      </c>
    </row>
    <row r="232" spans="1:10" x14ac:dyDescent="0.4">
      <c r="A232" s="1">
        <v>45522</v>
      </c>
      <c r="B232">
        <v>527709</v>
      </c>
      <c r="C232">
        <v>511259.14</v>
      </c>
      <c r="D232">
        <v>411</v>
      </c>
      <c r="E232">
        <f>YEAR(agg_orders_daily_revenue[[#This Row],[Order_Date]])</f>
        <v>2024</v>
      </c>
      <c r="F232">
        <f>MONTH(agg_orders_daily_revenue[[#This Row],[Order_Date]])</f>
        <v>8</v>
      </c>
      <c r="G232" t="str">
        <f>TEXT(agg_orders_daily_revenue[[#This Row],[Order_Date]],"yyyy-mm")</f>
        <v>2024-08</v>
      </c>
      <c r="H232">
        <f>WEEKDAY(agg_orders_daily_revenue[[#This Row],[Order_Date]],2)</f>
        <v>7</v>
      </c>
      <c r="I232" t="str">
        <f>IF(OR(agg_orders_daily_revenue[[#This Row],[Weekday_Num]]=6, agg_orders_daily_revenue[[#This Row],[Weekday_Num]]=7), "Weekend", "Weekday")</f>
        <v>Weekend</v>
      </c>
      <c r="J232" t="str">
        <f>TEXT(agg_orders_daily_revenue[[#This Row],[Order_Date]], "ddd")</f>
        <v>Sun</v>
      </c>
    </row>
    <row r="233" spans="1:10" x14ac:dyDescent="0.4">
      <c r="A233" s="1">
        <v>45523</v>
      </c>
      <c r="B233">
        <v>510859</v>
      </c>
      <c r="C233">
        <v>513947.29</v>
      </c>
      <c r="D233">
        <v>399</v>
      </c>
      <c r="E233">
        <f>YEAR(agg_orders_daily_revenue[[#This Row],[Order_Date]])</f>
        <v>2024</v>
      </c>
      <c r="F233">
        <f>MONTH(agg_orders_daily_revenue[[#This Row],[Order_Date]])</f>
        <v>8</v>
      </c>
      <c r="G233" t="str">
        <f>TEXT(agg_orders_daily_revenue[[#This Row],[Order_Date]],"yyyy-mm")</f>
        <v>2024-08</v>
      </c>
      <c r="H233">
        <f>WEEKDAY(agg_orders_daily_revenue[[#This Row],[Order_Date]],2)</f>
        <v>1</v>
      </c>
      <c r="I233" t="str">
        <f>IF(OR(agg_orders_daily_revenue[[#This Row],[Weekday_Num]]=6, agg_orders_daily_revenue[[#This Row],[Weekday_Num]]=7), "Weekend", "Weekday")</f>
        <v>Weekday</v>
      </c>
      <c r="J233" t="str">
        <f>TEXT(agg_orders_daily_revenue[[#This Row],[Order_Date]], "ddd")</f>
        <v>Mon</v>
      </c>
    </row>
    <row r="234" spans="1:10" x14ac:dyDescent="0.4">
      <c r="A234" s="1">
        <v>45524</v>
      </c>
      <c r="B234">
        <v>527436</v>
      </c>
      <c r="C234">
        <v>517231.43</v>
      </c>
      <c r="D234">
        <v>421</v>
      </c>
      <c r="E234">
        <f>YEAR(agg_orders_daily_revenue[[#This Row],[Order_Date]])</f>
        <v>2024</v>
      </c>
      <c r="F234">
        <f>MONTH(agg_orders_daily_revenue[[#This Row],[Order_Date]])</f>
        <v>8</v>
      </c>
      <c r="G234" t="str">
        <f>TEXT(agg_orders_daily_revenue[[#This Row],[Order_Date]],"yyyy-mm")</f>
        <v>2024-08</v>
      </c>
      <c r="H234">
        <f>WEEKDAY(agg_orders_daily_revenue[[#This Row],[Order_Date]],2)</f>
        <v>2</v>
      </c>
      <c r="I234" t="str">
        <f>IF(OR(agg_orders_daily_revenue[[#This Row],[Weekday_Num]]=6, agg_orders_daily_revenue[[#This Row],[Weekday_Num]]=7), "Weekend", "Weekday")</f>
        <v>Weekday</v>
      </c>
      <c r="J234" t="str">
        <f>TEXT(agg_orders_daily_revenue[[#This Row],[Order_Date]], "ddd")</f>
        <v>Tue</v>
      </c>
    </row>
    <row r="235" spans="1:10" x14ac:dyDescent="0.4">
      <c r="A235" s="1">
        <v>45525</v>
      </c>
      <c r="B235">
        <v>544562</v>
      </c>
      <c r="C235">
        <v>516870.57</v>
      </c>
      <c r="D235">
        <v>452</v>
      </c>
      <c r="E235">
        <f>YEAR(agg_orders_daily_revenue[[#This Row],[Order_Date]])</f>
        <v>2024</v>
      </c>
      <c r="F235">
        <f>MONTH(agg_orders_daily_revenue[[#This Row],[Order_Date]])</f>
        <v>8</v>
      </c>
      <c r="G235" t="str">
        <f>TEXT(agg_orders_daily_revenue[[#This Row],[Order_Date]],"yyyy-mm")</f>
        <v>2024-08</v>
      </c>
      <c r="H235">
        <f>WEEKDAY(agg_orders_daily_revenue[[#This Row],[Order_Date]],2)</f>
        <v>3</v>
      </c>
      <c r="I235" t="str">
        <f>IF(OR(agg_orders_daily_revenue[[#This Row],[Weekday_Num]]=6, agg_orders_daily_revenue[[#This Row],[Weekday_Num]]=7), "Weekend", "Weekday")</f>
        <v>Weekday</v>
      </c>
      <c r="J235" t="str">
        <f>TEXT(agg_orders_daily_revenue[[#This Row],[Order_Date]], "ddd")</f>
        <v>Wed</v>
      </c>
    </row>
    <row r="236" spans="1:10" x14ac:dyDescent="0.4">
      <c r="A236" s="1">
        <v>45526</v>
      </c>
      <c r="B236">
        <v>520576</v>
      </c>
      <c r="C236">
        <v>516508.57</v>
      </c>
      <c r="D236">
        <v>443</v>
      </c>
      <c r="E236">
        <f>YEAR(agg_orders_daily_revenue[[#This Row],[Order_Date]])</f>
        <v>2024</v>
      </c>
      <c r="F236">
        <f>MONTH(agg_orders_daily_revenue[[#This Row],[Order_Date]])</f>
        <v>8</v>
      </c>
      <c r="G236" t="str">
        <f>TEXT(agg_orders_daily_revenue[[#This Row],[Order_Date]],"yyyy-mm")</f>
        <v>2024-08</v>
      </c>
      <c r="H236">
        <f>WEEKDAY(agg_orders_daily_revenue[[#This Row],[Order_Date]],2)</f>
        <v>4</v>
      </c>
      <c r="I236" t="str">
        <f>IF(OR(agg_orders_daily_revenue[[#This Row],[Weekday_Num]]=6, agg_orders_daily_revenue[[#This Row],[Weekday_Num]]=7), "Weekend", "Weekday")</f>
        <v>Weekday</v>
      </c>
      <c r="J236" t="str">
        <f>TEXT(agg_orders_daily_revenue[[#This Row],[Order_Date]], "ddd")</f>
        <v>Thu</v>
      </c>
    </row>
    <row r="237" spans="1:10" x14ac:dyDescent="0.4">
      <c r="A237" s="1">
        <v>45527</v>
      </c>
      <c r="B237">
        <v>535583</v>
      </c>
      <c r="C237">
        <v>524752.29</v>
      </c>
      <c r="D237">
        <v>410</v>
      </c>
      <c r="E237">
        <f>YEAR(agg_orders_daily_revenue[[#This Row],[Order_Date]])</f>
        <v>2024</v>
      </c>
      <c r="F237">
        <f>MONTH(agg_orders_daily_revenue[[#This Row],[Order_Date]])</f>
        <v>8</v>
      </c>
      <c r="G237" t="str">
        <f>TEXT(agg_orders_daily_revenue[[#This Row],[Order_Date]],"yyyy-mm")</f>
        <v>2024-08</v>
      </c>
      <c r="H237">
        <f>WEEKDAY(agg_orders_daily_revenue[[#This Row],[Order_Date]],2)</f>
        <v>5</v>
      </c>
      <c r="I237" t="str">
        <f>IF(OR(agg_orders_daily_revenue[[#This Row],[Weekday_Num]]=6, agg_orders_daily_revenue[[#This Row],[Weekday_Num]]=7), "Weekend", "Weekday")</f>
        <v>Weekday</v>
      </c>
      <c r="J237" t="str">
        <f>TEXT(agg_orders_daily_revenue[[#This Row],[Order_Date]], "ddd")</f>
        <v>Fri</v>
      </c>
    </row>
    <row r="238" spans="1:10" x14ac:dyDescent="0.4">
      <c r="A238" s="1">
        <v>45528</v>
      </c>
      <c r="B238">
        <v>512276</v>
      </c>
      <c r="C238">
        <v>525571.56999999995</v>
      </c>
      <c r="D238">
        <v>426</v>
      </c>
      <c r="E238">
        <f>YEAR(agg_orders_daily_revenue[[#This Row],[Order_Date]])</f>
        <v>2024</v>
      </c>
      <c r="F238">
        <f>MONTH(agg_orders_daily_revenue[[#This Row],[Order_Date]])</f>
        <v>8</v>
      </c>
      <c r="G238" t="str">
        <f>TEXT(agg_orders_daily_revenue[[#This Row],[Order_Date]],"yyyy-mm")</f>
        <v>2024-08</v>
      </c>
      <c r="H238">
        <f>WEEKDAY(agg_orders_daily_revenue[[#This Row],[Order_Date]],2)</f>
        <v>6</v>
      </c>
      <c r="I238" t="str">
        <f>IF(OR(agg_orders_daily_revenue[[#This Row],[Weekday_Num]]=6, agg_orders_daily_revenue[[#This Row],[Weekday_Num]]=7), "Weekend", "Weekday")</f>
        <v>Weekend</v>
      </c>
      <c r="J238" t="str">
        <f>TEXT(agg_orders_daily_revenue[[#This Row],[Order_Date]], "ddd")</f>
        <v>Sat</v>
      </c>
    </row>
    <row r="239" spans="1:10" x14ac:dyDescent="0.4">
      <c r="A239" s="1">
        <v>45529</v>
      </c>
      <c r="B239">
        <v>522887</v>
      </c>
      <c r="C239">
        <v>524882.71</v>
      </c>
      <c r="D239">
        <v>429</v>
      </c>
      <c r="E239">
        <f>YEAR(agg_orders_daily_revenue[[#This Row],[Order_Date]])</f>
        <v>2024</v>
      </c>
      <c r="F239">
        <f>MONTH(agg_orders_daily_revenue[[#This Row],[Order_Date]])</f>
        <v>8</v>
      </c>
      <c r="G239" t="str">
        <f>TEXT(agg_orders_daily_revenue[[#This Row],[Order_Date]],"yyyy-mm")</f>
        <v>2024-08</v>
      </c>
      <c r="H239">
        <f>WEEKDAY(agg_orders_daily_revenue[[#This Row],[Order_Date]],2)</f>
        <v>7</v>
      </c>
      <c r="I239" t="str">
        <f>IF(OR(agg_orders_daily_revenue[[#This Row],[Weekday_Num]]=6, agg_orders_daily_revenue[[#This Row],[Weekday_Num]]=7), "Weekend", "Weekday")</f>
        <v>Weekend</v>
      </c>
      <c r="J239" t="str">
        <f>TEXT(agg_orders_daily_revenue[[#This Row],[Order_Date]], "ddd")</f>
        <v>Sun</v>
      </c>
    </row>
    <row r="240" spans="1:10" x14ac:dyDescent="0.4">
      <c r="A240" s="1">
        <v>45530</v>
      </c>
      <c r="B240">
        <v>533840</v>
      </c>
      <c r="C240">
        <v>528165.71</v>
      </c>
      <c r="D240">
        <v>436</v>
      </c>
      <c r="E240">
        <f>YEAR(agg_orders_daily_revenue[[#This Row],[Order_Date]])</f>
        <v>2024</v>
      </c>
      <c r="F240">
        <f>MONTH(agg_orders_daily_revenue[[#This Row],[Order_Date]])</f>
        <v>8</v>
      </c>
      <c r="G240" t="str">
        <f>TEXT(agg_orders_daily_revenue[[#This Row],[Order_Date]],"yyyy-mm")</f>
        <v>2024-08</v>
      </c>
      <c r="H240">
        <f>WEEKDAY(agg_orders_daily_revenue[[#This Row],[Order_Date]],2)</f>
        <v>1</v>
      </c>
      <c r="I240" t="str">
        <f>IF(OR(agg_orders_daily_revenue[[#This Row],[Weekday_Num]]=6, agg_orders_daily_revenue[[#This Row],[Weekday_Num]]=7), "Weekend", "Weekday")</f>
        <v>Weekday</v>
      </c>
      <c r="J240" t="str">
        <f>TEXT(agg_orders_daily_revenue[[#This Row],[Order_Date]], "ddd")</f>
        <v>Mon</v>
      </c>
    </row>
    <row r="241" spans="1:10" x14ac:dyDescent="0.4">
      <c r="A241" s="1">
        <v>45531</v>
      </c>
      <c r="B241">
        <v>461365</v>
      </c>
      <c r="C241">
        <v>518727</v>
      </c>
      <c r="D241">
        <v>357</v>
      </c>
      <c r="E241">
        <f>YEAR(agg_orders_daily_revenue[[#This Row],[Order_Date]])</f>
        <v>2024</v>
      </c>
      <c r="F241">
        <f>MONTH(agg_orders_daily_revenue[[#This Row],[Order_Date]])</f>
        <v>8</v>
      </c>
      <c r="G241" t="str">
        <f>TEXT(agg_orders_daily_revenue[[#This Row],[Order_Date]],"yyyy-mm")</f>
        <v>2024-08</v>
      </c>
      <c r="H241">
        <f>WEEKDAY(agg_orders_daily_revenue[[#This Row],[Order_Date]],2)</f>
        <v>2</v>
      </c>
      <c r="I241" t="str">
        <f>IF(OR(agg_orders_daily_revenue[[#This Row],[Weekday_Num]]=6, agg_orders_daily_revenue[[#This Row],[Weekday_Num]]=7), "Weekend", "Weekday")</f>
        <v>Weekday</v>
      </c>
      <c r="J241" t="str">
        <f>TEXT(agg_orders_daily_revenue[[#This Row],[Order_Date]], "ddd")</f>
        <v>Tue</v>
      </c>
    </row>
    <row r="242" spans="1:10" x14ac:dyDescent="0.4">
      <c r="A242" s="1">
        <v>45532</v>
      </c>
      <c r="B242">
        <v>557555</v>
      </c>
      <c r="C242">
        <v>520583.14</v>
      </c>
      <c r="D242">
        <v>440</v>
      </c>
      <c r="E242">
        <f>YEAR(agg_orders_daily_revenue[[#This Row],[Order_Date]])</f>
        <v>2024</v>
      </c>
      <c r="F242">
        <f>MONTH(agg_orders_daily_revenue[[#This Row],[Order_Date]])</f>
        <v>8</v>
      </c>
      <c r="G242" t="str">
        <f>TEXT(agg_orders_daily_revenue[[#This Row],[Order_Date]],"yyyy-mm")</f>
        <v>2024-08</v>
      </c>
      <c r="H242">
        <f>WEEKDAY(agg_orders_daily_revenue[[#This Row],[Order_Date]],2)</f>
        <v>3</v>
      </c>
      <c r="I242" t="str">
        <f>IF(OR(agg_orders_daily_revenue[[#This Row],[Weekday_Num]]=6, agg_orders_daily_revenue[[#This Row],[Weekday_Num]]=7), "Weekend", "Weekday")</f>
        <v>Weekday</v>
      </c>
      <c r="J242" t="str">
        <f>TEXT(agg_orders_daily_revenue[[#This Row],[Order_Date]], "ddd")</f>
        <v>Wed</v>
      </c>
    </row>
    <row r="243" spans="1:10" x14ac:dyDescent="0.4">
      <c r="A243" s="1">
        <v>45533</v>
      </c>
      <c r="B243">
        <v>507132</v>
      </c>
      <c r="C243">
        <v>518662.57</v>
      </c>
      <c r="D243">
        <v>411</v>
      </c>
      <c r="E243">
        <f>YEAR(agg_orders_daily_revenue[[#This Row],[Order_Date]])</f>
        <v>2024</v>
      </c>
      <c r="F243">
        <f>MONTH(agg_orders_daily_revenue[[#This Row],[Order_Date]])</f>
        <v>8</v>
      </c>
      <c r="G243" t="str">
        <f>TEXT(agg_orders_daily_revenue[[#This Row],[Order_Date]],"yyyy-mm")</f>
        <v>2024-08</v>
      </c>
      <c r="H243">
        <f>WEEKDAY(agg_orders_daily_revenue[[#This Row],[Order_Date]],2)</f>
        <v>4</v>
      </c>
      <c r="I243" t="str">
        <f>IF(OR(agg_orders_daily_revenue[[#This Row],[Weekday_Num]]=6, agg_orders_daily_revenue[[#This Row],[Weekday_Num]]=7), "Weekend", "Weekday")</f>
        <v>Weekday</v>
      </c>
      <c r="J243" t="str">
        <f>TEXT(agg_orders_daily_revenue[[#This Row],[Order_Date]], "ddd")</f>
        <v>Thu</v>
      </c>
    </row>
    <row r="244" spans="1:10" x14ac:dyDescent="0.4">
      <c r="A244" s="1">
        <v>45534</v>
      </c>
      <c r="B244">
        <v>494736</v>
      </c>
      <c r="C244">
        <v>512827.29</v>
      </c>
      <c r="D244">
        <v>386</v>
      </c>
      <c r="E244">
        <f>YEAR(agg_orders_daily_revenue[[#This Row],[Order_Date]])</f>
        <v>2024</v>
      </c>
      <c r="F244">
        <f>MONTH(agg_orders_daily_revenue[[#This Row],[Order_Date]])</f>
        <v>8</v>
      </c>
      <c r="G244" t="str">
        <f>TEXT(agg_orders_daily_revenue[[#This Row],[Order_Date]],"yyyy-mm")</f>
        <v>2024-08</v>
      </c>
      <c r="H244">
        <f>WEEKDAY(agg_orders_daily_revenue[[#This Row],[Order_Date]],2)</f>
        <v>5</v>
      </c>
      <c r="I244" t="str">
        <f>IF(OR(agg_orders_daily_revenue[[#This Row],[Weekday_Num]]=6, agg_orders_daily_revenue[[#This Row],[Weekday_Num]]=7), "Weekend", "Weekday")</f>
        <v>Weekday</v>
      </c>
      <c r="J244" t="str">
        <f>TEXT(agg_orders_daily_revenue[[#This Row],[Order_Date]], "ddd")</f>
        <v>Fri</v>
      </c>
    </row>
    <row r="245" spans="1:10" x14ac:dyDescent="0.4">
      <c r="A245" s="1">
        <v>45535</v>
      </c>
      <c r="B245">
        <v>517102</v>
      </c>
      <c r="C245">
        <v>513516.71</v>
      </c>
      <c r="D245">
        <v>404</v>
      </c>
      <c r="E245">
        <f>YEAR(agg_orders_daily_revenue[[#This Row],[Order_Date]])</f>
        <v>2024</v>
      </c>
      <c r="F245">
        <f>MONTH(agg_orders_daily_revenue[[#This Row],[Order_Date]])</f>
        <v>8</v>
      </c>
      <c r="G245" t="str">
        <f>TEXT(agg_orders_daily_revenue[[#This Row],[Order_Date]],"yyyy-mm")</f>
        <v>2024-08</v>
      </c>
      <c r="H245">
        <f>WEEKDAY(agg_orders_daily_revenue[[#This Row],[Order_Date]],2)</f>
        <v>6</v>
      </c>
      <c r="I245" t="str">
        <f>IF(OR(agg_orders_daily_revenue[[#This Row],[Weekday_Num]]=6, agg_orders_daily_revenue[[#This Row],[Weekday_Num]]=7), "Weekend", "Weekday")</f>
        <v>Weekend</v>
      </c>
      <c r="J245" t="str">
        <f>TEXT(agg_orders_daily_revenue[[#This Row],[Order_Date]], "ddd")</f>
        <v>Sat</v>
      </c>
    </row>
    <row r="246" spans="1:10" x14ac:dyDescent="0.4">
      <c r="A246" s="1">
        <v>45536</v>
      </c>
      <c r="B246">
        <v>517128</v>
      </c>
      <c r="C246">
        <v>512694</v>
      </c>
      <c r="D246">
        <v>420</v>
      </c>
      <c r="E246">
        <f>YEAR(agg_orders_daily_revenue[[#This Row],[Order_Date]])</f>
        <v>2024</v>
      </c>
      <c r="F246">
        <f>MONTH(agg_orders_daily_revenue[[#This Row],[Order_Date]])</f>
        <v>9</v>
      </c>
      <c r="G246" t="str">
        <f>TEXT(agg_orders_daily_revenue[[#This Row],[Order_Date]],"yyyy-mm")</f>
        <v>2024-09</v>
      </c>
      <c r="H246">
        <f>WEEKDAY(agg_orders_daily_revenue[[#This Row],[Order_Date]],2)</f>
        <v>7</v>
      </c>
      <c r="I246" t="str">
        <f>IF(OR(agg_orders_daily_revenue[[#This Row],[Weekday_Num]]=6, agg_orders_daily_revenue[[#This Row],[Weekday_Num]]=7), "Weekend", "Weekday")</f>
        <v>Weekend</v>
      </c>
      <c r="J246" t="str">
        <f>TEXT(agg_orders_daily_revenue[[#This Row],[Order_Date]], "ddd")</f>
        <v>Sun</v>
      </c>
    </row>
    <row r="247" spans="1:10" x14ac:dyDescent="0.4">
      <c r="A247" s="1">
        <v>45537</v>
      </c>
      <c r="B247">
        <v>525798</v>
      </c>
      <c r="C247">
        <v>511545.14</v>
      </c>
      <c r="D247">
        <v>410</v>
      </c>
      <c r="E247">
        <f>YEAR(agg_orders_daily_revenue[[#This Row],[Order_Date]])</f>
        <v>2024</v>
      </c>
      <c r="F247">
        <f>MONTH(agg_orders_daily_revenue[[#This Row],[Order_Date]])</f>
        <v>9</v>
      </c>
      <c r="G247" t="str">
        <f>TEXT(agg_orders_daily_revenue[[#This Row],[Order_Date]],"yyyy-mm")</f>
        <v>2024-09</v>
      </c>
      <c r="H247">
        <f>WEEKDAY(agg_orders_daily_revenue[[#This Row],[Order_Date]],2)</f>
        <v>1</v>
      </c>
      <c r="I247" t="str">
        <f>IF(OR(agg_orders_daily_revenue[[#This Row],[Weekday_Num]]=6, agg_orders_daily_revenue[[#This Row],[Weekday_Num]]=7), "Weekend", "Weekday")</f>
        <v>Weekday</v>
      </c>
      <c r="J247" t="str">
        <f>TEXT(agg_orders_daily_revenue[[#This Row],[Order_Date]], "ddd")</f>
        <v>Mon</v>
      </c>
    </row>
    <row r="248" spans="1:10" x14ac:dyDescent="0.4">
      <c r="A248" s="1">
        <v>45538</v>
      </c>
      <c r="B248">
        <v>516406</v>
      </c>
      <c r="C248">
        <v>519408.14</v>
      </c>
      <c r="D248">
        <v>406</v>
      </c>
      <c r="E248">
        <f>YEAR(agg_orders_daily_revenue[[#This Row],[Order_Date]])</f>
        <v>2024</v>
      </c>
      <c r="F248">
        <f>MONTH(agg_orders_daily_revenue[[#This Row],[Order_Date]])</f>
        <v>9</v>
      </c>
      <c r="G248" t="str">
        <f>TEXT(agg_orders_daily_revenue[[#This Row],[Order_Date]],"yyyy-mm")</f>
        <v>2024-09</v>
      </c>
      <c r="H248">
        <f>WEEKDAY(agg_orders_daily_revenue[[#This Row],[Order_Date]],2)</f>
        <v>2</v>
      </c>
      <c r="I248" t="str">
        <f>IF(OR(agg_orders_daily_revenue[[#This Row],[Weekday_Num]]=6, agg_orders_daily_revenue[[#This Row],[Weekday_Num]]=7), "Weekend", "Weekday")</f>
        <v>Weekday</v>
      </c>
      <c r="J248" t="str">
        <f>TEXT(agg_orders_daily_revenue[[#This Row],[Order_Date]], "ddd")</f>
        <v>Tue</v>
      </c>
    </row>
    <row r="249" spans="1:10" x14ac:dyDescent="0.4">
      <c r="A249" s="1">
        <v>45539</v>
      </c>
      <c r="B249">
        <v>520114</v>
      </c>
      <c r="C249">
        <v>514059.43</v>
      </c>
      <c r="D249">
        <v>422</v>
      </c>
      <c r="E249">
        <f>YEAR(agg_orders_daily_revenue[[#This Row],[Order_Date]])</f>
        <v>2024</v>
      </c>
      <c r="F249">
        <f>MONTH(agg_orders_daily_revenue[[#This Row],[Order_Date]])</f>
        <v>9</v>
      </c>
      <c r="G249" t="str">
        <f>TEXT(agg_orders_daily_revenue[[#This Row],[Order_Date]],"yyyy-mm")</f>
        <v>2024-09</v>
      </c>
      <c r="H249">
        <f>WEEKDAY(agg_orders_daily_revenue[[#This Row],[Order_Date]],2)</f>
        <v>3</v>
      </c>
      <c r="I249" t="str">
        <f>IF(OR(agg_orders_daily_revenue[[#This Row],[Weekday_Num]]=6, agg_orders_daily_revenue[[#This Row],[Weekday_Num]]=7), "Weekend", "Weekday")</f>
        <v>Weekday</v>
      </c>
      <c r="J249" t="str">
        <f>TEXT(agg_orders_daily_revenue[[#This Row],[Order_Date]], "ddd")</f>
        <v>Wed</v>
      </c>
    </row>
    <row r="250" spans="1:10" x14ac:dyDescent="0.4">
      <c r="A250" s="1">
        <v>45540</v>
      </c>
      <c r="B250">
        <v>472924</v>
      </c>
      <c r="C250">
        <v>509172.57</v>
      </c>
      <c r="D250">
        <v>394</v>
      </c>
      <c r="E250">
        <f>YEAR(agg_orders_daily_revenue[[#This Row],[Order_Date]])</f>
        <v>2024</v>
      </c>
      <c r="F250">
        <f>MONTH(agg_orders_daily_revenue[[#This Row],[Order_Date]])</f>
        <v>9</v>
      </c>
      <c r="G250" t="str">
        <f>TEXT(agg_orders_daily_revenue[[#This Row],[Order_Date]],"yyyy-mm")</f>
        <v>2024-09</v>
      </c>
      <c r="H250">
        <f>WEEKDAY(agg_orders_daily_revenue[[#This Row],[Order_Date]],2)</f>
        <v>4</v>
      </c>
      <c r="I250" t="str">
        <f>IF(OR(agg_orders_daily_revenue[[#This Row],[Weekday_Num]]=6, agg_orders_daily_revenue[[#This Row],[Weekday_Num]]=7), "Weekend", "Weekday")</f>
        <v>Weekday</v>
      </c>
      <c r="J250" t="str">
        <f>TEXT(agg_orders_daily_revenue[[#This Row],[Order_Date]], "ddd")</f>
        <v>Thu</v>
      </c>
    </row>
    <row r="251" spans="1:10" x14ac:dyDescent="0.4">
      <c r="A251" s="1">
        <v>45541</v>
      </c>
      <c r="B251">
        <v>519291</v>
      </c>
      <c r="C251">
        <v>512680.43</v>
      </c>
      <c r="D251">
        <v>416</v>
      </c>
      <c r="E251">
        <f>YEAR(agg_orders_daily_revenue[[#This Row],[Order_Date]])</f>
        <v>2024</v>
      </c>
      <c r="F251">
        <f>MONTH(agg_orders_daily_revenue[[#This Row],[Order_Date]])</f>
        <v>9</v>
      </c>
      <c r="G251" t="str">
        <f>TEXT(agg_orders_daily_revenue[[#This Row],[Order_Date]],"yyyy-mm")</f>
        <v>2024-09</v>
      </c>
      <c r="H251">
        <f>WEEKDAY(agg_orders_daily_revenue[[#This Row],[Order_Date]],2)</f>
        <v>5</v>
      </c>
      <c r="I251" t="str">
        <f>IF(OR(agg_orders_daily_revenue[[#This Row],[Weekday_Num]]=6, agg_orders_daily_revenue[[#This Row],[Weekday_Num]]=7), "Weekend", "Weekday")</f>
        <v>Weekday</v>
      </c>
      <c r="J251" t="str">
        <f>TEXT(agg_orders_daily_revenue[[#This Row],[Order_Date]], "ddd")</f>
        <v>Fri</v>
      </c>
    </row>
    <row r="252" spans="1:10" x14ac:dyDescent="0.4">
      <c r="A252" s="1">
        <v>45542</v>
      </c>
      <c r="B252">
        <v>564567</v>
      </c>
      <c r="C252">
        <v>519461.14</v>
      </c>
      <c r="D252">
        <v>434</v>
      </c>
      <c r="E252">
        <f>YEAR(agg_orders_daily_revenue[[#This Row],[Order_Date]])</f>
        <v>2024</v>
      </c>
      <c r="F252">
        <f>MONTH(agg_orders_daily_revenue[[#This Row],[Order_Date]])</f>
        <v>9</v>
      </c>
      <c r="G252" t="str">
        <f>TEXT(agg_orders_daily_revenue[[#This Row],[Order_Date]],"yyyy-mm")</f>
        <v>2024-09</v>
      </c>
      <c r="H252">
        <f>WEEKDAY(agg_orders_daily_revenue[[#This Row],[Order_Date]],2)</f>
        <v>6</v>
      </c>
      <c r="I252" t="str">
        <f>IF(OR(agg_orders_daily_revenue[[#This Row],[Weekday_Num]]=6, agg_orders_daily_revenue[[#This Row],[Weekday_Num]]=7), "Weekend", "Weekday")</f>
        <v>Weekend</v>
      </c>
      <c r="J252" t="str">
        <f>TEXT(agg_orders_daily_revenue[[#This Row],[Order_Date]], "ddd")</f>
        <v>Sat</v>
      </c>
    </row>
    <row r="253" spans="1:10" x14ac:dyDescent="0.4">
      <c r="A253" s="1">
        <v>45543</v>
      </c>
      <c r="B253">
        <v>469340</v>
      </c>
      <c r="C253">
        <v>512634.29</v>
      </c>
      <c r="D253">
        <v>396</v>
      </c>
      <c r="E253">
        <f>YEAR(agg_orders_daily_revenue[[#This Row],[Order_Date]])</f>
        <v>2024</v>
      </c>
      <c r="F253">
        <f>MONTH(agg_orders_daily_revenue[[#This Row],[Order_Date]])</f>
        <v>9</v>
      </c>
      <c r="G253" t="str">
        <f>TEXT(agg_orders_daily_revenue[[#This Row],[Order_Date]],"yyyy-mm")</f>
        <v>2024-09</v>
      </c>
      <c r="H253">
        <f>WEEKDAY(agg_orders_daily_revenue[[#This Row],[Order_Date]],2)</f>
        <v>7</v>
      </c>
      <c r="I253" t="str">
        <f>IF(OR(agg_orders_daily_revenue[[#This Row],[Weekday_Num]]=6, agg_orders_daily_revenue[[#This Row],[Weekday_Num]]=7), "Weekend", "Weekday")</f>
        <v>Weekend</v>
      </c>
      <c r="J253" t="str">
        <f>TEXT(agg_orders_daily_revenue[[#This Row],[Order_Date]], "ddd")</f>
        <v>Sun</v>
      </c>
    </row>
    <row r="254" spans="1:10" x14ac:dyDescent="0.4">
      <c r="A254" s="1">
        <v>45544</v>
      </c>
      <c r="B254">
        <v>505194</v>
      </c>
      <c r="C254">
        <v>509690.86</v>
      </c>
      <c r="D254">
        <v>403</v>
      </c>
      <c r="E254">
        <f>YEAR(agg_orders_daily_revenue[[#This Row],[Order_Date]])</f>
        <v>2024</v>
      </c>
      <c r="F254">
        <f>MONTH(agg_orders_daily_revenue[[#This Row],[Order_Date]])</f>
        <v>9</v>
      </c>
      <c r="G254" t="str">
        <f>TEXT(agg_orders_daily_revenue[[#This Row],[Order_Date]],"yyyy-mm")</f>
        <v>2024-09</v>
      </c>
      <c r="H254">
        <f>WEEKDAY(agg_orders_daily_revenue[[#This Row],[Order_Date]],2)</f>
        <v>1</v>
      </c>
      <c r="I254" t="str">
        <f>IF(OR(agg_orders_daily_revenue[[#This Row],[Weekday_Num]]=6, agg_orders_daily_revenue[[#This Row],[Weekday_Num]]=7), "Weekend", "Weekday")</f>
        <v>Weekday</v>
      </c>
      <c r="J254" t="str">
        <f>TEXT(agg_orders_daily_revenue[[#This Row],[Order_Date]], "ddd")</f>
        <v>Mon</v>
      </c>
    </row>
    <row r="255" spans="1:10" x14ac:dyDescent="0.4">
      <c r="A255" s="1">
        <v>45545</v>
      </c>
      <c r="B255">
        <v>531263</v>
      </c>
      <c r="C255">
        <v>511813.29</v>
      </c>
      <c r="D255">
        <v>402</v>
      </c>
      <c r="E255">
        <f>YEAR(agg_orders_daily_revenue[[#This Row],[Order_Date]])</f>
        <v>2024</v>
      </c>
      <c r="F255">
        <f>MONTH(agg_orders_daily_revenue[[#This Row],[Order_Date]])</f>
        <v>9</v>
      </c>
      <c r="G255" t="str">
        <f>TEXT(agg_orders_daily_revenue[[#This Row],[Order_Date]],"yyyy-mm")</f>
        <v>2024-09</v>
      </c>
      <c r="H255">
        <f>WEEKDAY(agg_orders_daily_revenue[[#This Row],[Order_Date]],2)</f>
        <v>2</v>
      </c>
      <c r="I255" t="str">
        <f>IF(OR(agg_orders_daily_revenue[[#This Row],[Weekday_Num]]=6, agg_orders_daily_revenue[[#This Row],[Weekday_Num]]=7), "Weekend", "Weekday")</f>
        <v>Weekday</v>
      </c>
      <c r="J255" t="str">
        <f>TEXT(agg_orders_daily_revenue[[#This Row],[Order_Date]], "ddd")</f>
        <v>Tue</v>
      </c>
    </row>
    <row r="256" spans="1:10" x14ac:dyDescent="0.4">
      <c r="A256" s="1">
        <v>45546</v>
      </c>
      <c r="B256">
        <v>436600</v>
      </c>
      <c r="C256">
        <v>499882.71</v>
      </c>
      <c r="D256">
        <v>368</v>
      </c>
      <c r="E256">
        <f>YEAR(agg_orders_daily_revenue[[#This Row],[Order_Date]])</f>
        <v>2024</v>
      </c>
      <c r="F256">
        <f>MONTH(agg_orders_daily_revenue[[#This Row],[Order_Date]])</f>
        <v>9</v>
      </c>
      <c r="G256" t="str">
        <f>TEXT(agg_orders_daily_revenue[[#This Row],[Order_Date]],"yyyy-mm")</f>
        <v>2024-09</v>
      </c>
      <c r="H256">
        <f>WEEKDAY(agg_orders_daily_revenue[[#This Row],[Order_Date]],2)</f>
        <v>3</v>
      </c>
      <c r="I256" t="str">
        <f>IF(OR(agg_orders_daily_revenue[[#This Row],[Weekday_Num]]=6, agg_orders_daily_revenue[[#This Row],[Weekday_Num]]=7), "Weekend", "Weekday")</f>
        <v>Weekday</v>
      </c>
      <c r="J256" t="str">
        <f>TEXT(agg_orders_daily_revenue[[#This Row],[Order_Date]], "ddd")</f>
        <v>Wed</v>
      </c>
    </row>
    <row r="257" spans="1:10" x14ac:dyDescent="0.4">
      <c r="A257" s="1">
        <v>45547</v>
      </c>
      <c r="B257">
        <v>541459</v>
      </c>
      <c r="C257">
        <v>509673.43</v>
      </c>
      <c r="D257">
        <v>439</v>
      </c>
      <c r="E257">
        <f>YEAR(agg_orders_daily_revenue[[#This Row],[Order_Date]])</f>
        <v>2024</v>
      </c>
      <c r="F257">
        <f>MONTH(agg_orders_daily_revenue[[#This Row],[Order_Date]])</f>
        <v>9</v>
      </c>
      <c r="G257" t="str">
        <f>TEXT(agg_orders_daily_revenue[[#This Row],[Order_Date]],"yyyy-mm")</f>
        <v>2024-09</v>
      </c>
      <c r="H257">
        <f>WEEKDAY(agg_orders_daily_revenue[[#This Row],[Order_Date]],2)</f>
        <v>4</v>
      </c>
      <c r="I257" t="str">
        <f>IF(OR(agg_orders_daily_revenue[[#This Row],[Weekday_Num]]=6, agg_orders_daily_revenue[[#This Row],[Weekday_Num]]=7), "Weekend", "Weekday")</f>
        <v>Weekday</v>
      </c>
      <c r="J257" t="str">
        <f>TEXT(agg_orders_daily_revenue[[#This Row],[Order_Date]], "ddd")</f>
        <v>Thu</v>
      </c>
    </row>
    <row r="258" spans="1:10" x14ac:dyDescent="0.4">
      <c r="A258" s="1">
        <v>45548</v>
      </c>
      <c r="B258">
        <v>480274</v>
      </c>
      <c r="C258">
        <v>504099.57</v>
      </c>
      <c r="D258">
        <v>398</v>
      </c>
      <c r="E258">
        <f>YEAR(agg_orders_daily_revenue[[#This Row],[Order_Date]])</f>
        <v>2024</v>
      </c>
      <c r="F258">
        <f>MONTH(agg_orders_daily_revenue[[#This Row],[Order_Date]])</f>
        <v>9</v>
      </c>
      <c r="G258" t="str">
        <f>TEXT(agg_orders_daily_revenue[[#This Row],[Order_Date]],"yyyy-mm")</f>
        <v>2024-09</v>
      </c>
      <c r="H258">
        <f>WEEKDAY(agg_orders_daily_revenue[[#This Row],[Order_Date]],2)</f>
        <v>5</v>
      </c>
      <c r="I258" t="str">
        <f>IF(OR(agg_orders_daily_revenue[[#This Row],[Weekday_Num]]=6, agg_orders_daily_revenue[[#This Row],[Weekday_Num]]=7), "Weekend", "Weekday")</f>
        <v>Weekday</v>
      </c>
      <c r="J258" t="str">
        <f>TEXT(agg_orders_daily_revenue[[#This Row],[Order_Date]], "ddd")</f>
        <v>Fri</v>
      </c>
    </row>
    <row r="259" spans="1:10" x14ac:dyDescent="0.4">
      <c r="A259" s="1">
        <v>45549</v>
      </c>
      <c r="B259">
        <v>473265</v>
      </c>
      <c r="C259">
        <v>491056.43</v>
      </c>
      <c r="D259">
        <v>373</v>
      </c>
      <c r="E259">
        <f>YEAR(agg_orders_daily_revenue[[#This Row],[Order_Date]])</f>
        <v>2024</v>
      </c>
      <c r="F259">
        <f>MONTH(agg_orders_daily_revenue[[#This Row],[Order_Date]])</f>
        <v>9</v>
      </c>
      <c r="G259" t="str">
        <f>TEXT(agg_orders_daily_revenue[[#This Row],[Order_Date]],"yyyy-mm")</f>
        <v>2024-09</v>
      </c>
      <c r="H259">
        <f>WEEKDAY(agg_orders_daily_revenue[[#This Row],[Order_Date]],2)</f>
        <v>6</v>
      </c>
      <c r="I259" t="str">
        <f>IF(OR(agg_orders_daily_revenue[[#This Row],[Weekday_Num]]=6, agg_orders_daily_revenue[[#This Row],[Weekday_Num]]=7), "Weekend", "Weekday")</f>
        <v>Weekend</v>
      </c>
      <c r="J259" t="str">
        <f>TEXT(agg_orders_daily_revenue[[#This Row],[Order_Date]], "ddd")</f>
        <v>Sat</v>
      </c>
    </row>
    <row r="260" spans="1:10" x14ac:dyDescent="0.4">
      <c r="A260" s="1">
        <v>45550</v>
      </c>
      <c r="B260">
        <v>547703</v>
      </c>
      <c r="C260">
        <v>502251.14</v>
      </c>
      <c r="D260">
        <v>444</v>
      </c>
      <c r="E260">
        <f>YEAR(agg_orders_daily_revenue[[#This Row],[Order_Date]])</f>
        <v>2024</v>
      </c>
      <c r="F260">
        <f>MONTH(agg_orders_daily_revenue[[#This Row],[Order_Date]])</f>
        <v>9</v>
      </c>
      <c r="G260" t="str">
        <f>TEXT(agg_orders_daily_revenue[[#This Row],[Order_Date]],"yyyy-mm")</f>
        <v>2024-09</v>
      </c>
      <c r="H260">
        <f>WEEKDAY(agg_orders_daily_revenue[[#This Row],[Order_Date]],2)</f>
        <v>7</v>
      </c>
      <c r="I260" t="str">
        <f>IF(OR(agg_orders_daily_revenue[[#This Row],[Weekday_Num]]=6, agg_orders_daily_revenue[[#This Row],[Weekday_Num]]=7), "Weekend", "Weekday")</f>
        <v>Weekend</v>
      </c>
      <c r="J260" t="str">
        <f>TEXT(agg_orders_daily_revenue[[#This Row],[Order_Date]], "ddd")</f>
        <v>Sun</v>
      </c>
    </row>
    <row r="261" spans="1:10" x14ac:dyDescent="0.4">
      <c r="A261" s="1">
        <v>45551</v>
      </c>
      <c r="B261">
        <v>461539</v>
      </c>
      <c r="C261">
        <v>496014.71</v>
      </c>
      <c r="D261">
        <v>386</v>
      </c>
      <c r="E261">
        <f>YEAR(agg_orders_daily_revenue[[#This Row],[Order_Date]])</f>
        <v>2024</v>
      </c>
      <c r="F261">
        <f>MONTH(agg_orders_daily_revenue[[#This Row],[Order_Date]])</f>
        <v>9</v>
      </c>
      <c r="G261" t="str">
        <f>TEXT(agg_orders_daily_revenue[[#This Row],[Order_Date]],"yyyy-mm")</f>
        <v>2024-09</v>
      </c>
      <c r="H261">
        <f>WEEKDAY(agg_orders_daily_revenue[[#This Row],[Order_Date]],2)</f>
        <v>1</v>
      </c>
      <c r="I261" t="str">
        <f>IF(OR(agg_orders_daily_revenue[[#This Row],[Weekday_Num]]=6, agg_orders_daily_revenue[[#This Row],[Weekday_Num]]=7), "Weekend", "Weekday")</f>
        <v>Weekday</v>
      </c>
      <c r="J261" t="str">
        <f>TEXT(agg_orders_daily_revenue[[#This Row],[Order_Date]], "ddd")</f>
        <v>Mon</v>
      </c>
    </row>
    <row r="262" spans="1:10" x14ac:dyDescent="0.4">
      <c r="A262" s="1">
        <v>45552</v>
      </c>
      <c r="B262">
        <v>530562</v>
      </c>
      <c r="C262">
        <v>495914.57</v>
      </c>
      <c r="D262">
        <v>420</v>
      </c>
      <c r="E262">
        <f>YEAR(agg_orders_daily_revenue[[#This Row],[Order_Date]])</f>
        <v>2024</v>
      </c>
      <c r="F262">
        <f>MONTH(agg_orders_daily_revenue[[#This Row],[Order_Date]])</f>
        <v>9</v>
      </c>
      <c r="G262" t="str">
        <f>TEXT(agg_orders_daily_revenue[[#This Row],[Order_Date]],"yyyy-mm")</f>
        <v>2024-09</v>
      </c>
      <c r="H262">
        <f>WEEKDAY(agg_orders_daily_revenue[[#This Row],[Order_Date]],2)</f>
        <v>2</v>
      </c>
      <c r="I262" t="str">
        <f>IF(OR(agg_orders_daily_revenue[[#This Row],[Weekday_Num]]=6, agg_orders_daily_revenue[[#This Row],[Weekday_Num]]=7), "Weekend", "Weekday")</f>
        <v>Weekday</v>
      </c>
      <c r="J262" t="str">
        <f>TEXT(agg_orders_daily_revenue[[#This Row],[Order_Date]], "ddd")</f>
        <v>Tue</v>
      </c>
    </row>
    <row r="263" spans="1:10" x14ac:dyDescent="0.4">
      <c r="A263" s="1">
        <v>45553</v>
      </c>
      <c r="B263">
        <v>492644</v>
      </c>
      <c r="C263">
        <v>503920.86</v>
      </c>
      <c r="D263">
        <v>399</v>
      </c>
      <c r="E263">
        <f>YEAR(agg_orders_daily_revenue[[#This Row],[Order_Date]])</f>
        <v>2024</v>
      </c>
      <c r="F263">
        <f>MONTH(agg_orders_daily_revenue[[#This Row],[Order_Date]])</f>
        <v>9</v>
      </c>
      <c r="G263" t="str">
        <f>TEXT(agg_orders_daily_revenue[[#This Row],[Order_Date]],"yyyy-mm")</f>
        <v>2024-09</v>
      </c>
      <c r="H263">
        <f>WEEKDAY(agg_orders_daily_revenue[[#This Row],[Order_Date]],2)</f>
        <v>3</v>
      </c>
      <c r="I263" t="str">
        <f>IF(OR(agg_orders_daily_revenue[[#This Row],[Weekday_Num]]=6, agg_orders_daily_revenue[[#This Row],[Weekday_Num]]=7), "Weekend", "Weekday")</f>
        <v>Weekday</v>
      </c>
      <c r="J263" t="str">
        <f>TEXT(agg_orders_daily_revenue[[#This Row],[Order_Date]], "ddd")</f>
        <v>Wed</v>
      </c>
    </row>
    <row r="264" spans="1:10" x14ac:dyDescent="0.4">
      <c r="A264" s="1">
        <v>45554</v>
      </c>
      <c r="B264">
        <v>511179</v>
      </c>
      <c r="C264">
        <v>499595.14</v>
      </c>
      <c r="D264">
        <v>411</v>
      </c>
      <c r="E264">
        <f>YEAR(agg_orders_daily_revenue[[#This Row],[Order_Date]])</f>
        <v>2024</v>
      </c>
      <c r="F264">
        <f>MONTH(agg_orders_daily_revenue[[#This Row],[Order_Date]])</f>
        <v>9</v>
      </c>
      <c r="G264" t="str">
        <f>TEXT(agg_orders_daily_revenue[[#This Row],[Order_Date]],"yyyy-mm")</f>
        <v>2024-09</v>
      </c>
      <c r="H264">
        <f>WEEKDAY(agg_orders_daily_revenue[[#This Row],[Order_Date]],2)</f>
        <v>4</v>
      </c>
      <c r="I264" t="str">
        <f>IF(OR(agg_orders_daily_revenue[[#This Row],[Weekday_Num]]=6, agg_orders_daily_revenue[[#This Row],[Weekday_Num]]=7), "Weekend", "Weekday")</f>
        <v>Weekday</v>
      </c>
      <c r="J264" t="str">
        <f>TEXT(agg_orders_daily_revenue[[#This Row],[Order_Date]], "ddd")</f>
        <v>Thu</v>
      </c>
    </row>
    <row r="265" spans="1:10" x14ac:dyDescent="0.4">
      <c r="A265" s="1">
        <v>45555</v>
      </c>
      <c r="B265">
        <v>508714</v>
      </c>
      <c r="C265">
        <v>503658</v>
      </c>
      <c r="D265">
        <v>403</v>
      </c>
      <c r="E265">
        <f>YEAR(agg_orders_daily_revenue[[#This Row],[Order_Date]])</f>
        <v>2024</v>
      </c>
      <c r="F265">
        <f>MONTH(agg_orders_daily_revenue[[#This Row],[Order_Date]])</f>
        <v>9</v>
      </c>
      <c r="G265" t="str">
        <f>TEXT(agg_orders_daily_revenue[[#This Row],[Order_Date]],"yyyy-mm")</f>
        <v>2024-09</v>
      </c>
      <c r="H265">
        <f>WEEKDAY(agg_orders_daily_revenue[[#This Row],[Order_Date]],2)</f>
        <v>5</v>
      </c>
      <c r="I265" t="str">
        <f>IF(OR(agg_orders_daily_revenue[[#This Row],[Weekday_Num]]=6, agg_orders_daily_revenue[[#This Row],[Weekday_Num]]=7), "Weekend", "Weekday")</f>
        <v>Weekday</v>
      </c>
      <c r="J265" t="str">
        <f>TEXT(agg_orders_daily_revenue[[#This Row],[Order_Date]], "ddd")</f>
        <v>Fri</v>
      </c>
    </row>
    <row r="266" spans="1:10" x14ac:dyDescent="0.4">
      <c r="A266" s="1">
        <v>45556</v>
      </c>
      <c r="B266">
        <v>523536</v>
      </c>
      <c r="C266">
        <v>510839.57</v>
      </c>
      <c r="D266">
        <v>425</v>
      </c>
      <c r="E266">
        <f>YEAR(agg_orders_daily_revenue[[#This Row],[Order_Date]])</f>
        <v>2024</v>
      </c>
      <c r="F266">
        <f>MONTH(agg_orders_daily_revenue[[#This Row],[Order_Date]])</f>
        <v>9</v>
      </c>
      <c r="G266" t="str">
        <f>TEXT(agg_orders_daily_revenue[[#This Row],[Order_Date]],"yyyy-mm")</f>
        <v>2024-09</v>
      </c>
      <c r="H266">
        <f>WEEKDAY(agg_orders_daily_revenue[[#This Row],[Order_Date]],2)</f>
        <v>6</v>
      </c>
      <c r="I266" t="str">
        <f>IF(OR(agg_orders_daily_revenue[[#This Row],[Weekday_Num]]=6, agg_orders_daily_revenue[[#This Row],[Weekday_Num]]=7), "Weekend", "Weekday")</f>
        <v>Weekend</v>
      </c>
      <c r="J266" t="str">
        <f>TEXT(agg_orders_daily_revenue[[#This Row],[Order_Date]], "ddd")</f>
        <v>Sat</v>
      </c>
    </row>
    <row r="267" spans="1:10" x14ac:dyDescent="0.4">
      <c r="A267" s="1">
        <v>45557</v>
      </c>
      <c r="B267">
        <v>496028</v>
      </c>
      <c r="C267">
        <v>503457.43</v>
      </c>
      <c r="D267">
        <v>386</v>
      </c>
      <c r="E267">
        <f>YEAR(agg_orders_daily_revenue[[#This Row],[Order_Date]])</f>
        <v>2024</v>
      </c>
      <c r="F267">
        <f>MONTH(agg_orders_daily_revenue[[#This Row],[Order_Date]])</f>
        <v>9</v>
      </c>
      <c r="G267" t="str">
        <f>TEXT(agg_orders_daily_revenue[[#This Row],[Order_Date]],"yyyy-mm")</f>
        <v>2024-09</v>
      </c>
      <c r="H267">
        <f>WEEKDAY(agg_orders_daily_revenue[[#This Row],[Order_Date]],2)</f>
        <v>7</v>
      </c>
      <c r="I267" t="str">
        <f>IF(OR(agg_orders_daily_revenue[[#This Row],[Weekday_Num]]=6, agg_orders_daily_revenue[[#This Row],[Weekday_Num]]=7), "Weekend", "Weekday")</f>
        <v>Weekend</v>
      </c>
      <c r="J267" t="str">
        <f>TEXT(agg_orders_daily_revenue[[#This Row],[Order_Date]], "ddd")</f>
        <v>Sun</v>
      </c>
    </row>
    <row r="268" spans="1:10" x14ac:dyDescent="0.4">
      <c r="A268" s="1">
        <v>45558</v>
      </c>
      <c r="B268">
        <v>515053</v>
      </c>
      <c r="C268">
        <v>511102.29</v>
      </c>
      <c r="D268">
        <v>418</v>
      </c>
      <c r="E268">
        <f>YEAR(agg_orders_daily_revenue[[#This Row],[Order_Date]])</f>
        <v>2024</v>
      </c>
      <c r="F268">
        <f>MONTH(agg_orders_daily_revenue[[#This Row],[Order_Date]])</f>
        <v>9</v>
      </c>
      <c r="G268" t="str">
        <f>TEXT(agg_orders_daily_revenue[[#This Row],[Order_Date]],"yyyy-mm")</f>
        <v>2024-09</v>
      </c>
      <c r="H268">
        <f>WEEKDAY(agg_orders_daily_revenue[[#This Row],[Order_Date]],2)</f>
        <v>1</v>
      </c>
      <c r="I268" t="str">
        <f>IF(OR(agg_orders_daily_revenue[[#This Row],[Weekday_Num]]=6, agg_orders_daily_revenue[[#This Row],[Weekday_Num]]=7), "Weekend", "Weekday")</f>
        <v>Weekday</v>
      </c>
      <c r="J268" t="str">
        <f>TEXT(agg_orders_daily_revenue[[#This Row],[Order_Date]], "ddd")</f>
        <v>Mon</v>
      </c>
    </row>
    <row r="269" spans="1:10" x14ac:dyDescent="0.4">
      <c r="A269" s="1">
        <v>45559</v>
      </c>
      <c r="B269">
        <v>549718</v>
      </c>
      <c r="C269">
        <v>513838.86</v>
      </c>
      <c r="D269">
        <v>437</v>
      </c>
      <c r="E269">
        <f>YEAR(agg_orders_daily_revenue[[#This Row],[Order_Date]])</f>
        <v>2024</v>
      </c>
      <c r="F269">
        <f>MONTH(agg_orders_daily_revenue[[#This Row],[Order_Date]])</f>
        <v>9</v>
      </c>
      <c r="G269" t="str">
        <f>TEXT(agg_orders_daily_revenue[[#This Row],[Order_Date]],"yyyy-mm")</f>
        <v>2024-09</v>
      </c>
      <c r="H269">
        <f>WEEKDAY(agg_orders_daily_revenue[[#This Row],[Order_Date]],2)</f>
        <v>2</v>
      </c>
      <c r="I269" t="str">
        <f>IF(OR(agg_orders_daily_revenue[[#This Row],[Weekday_Num]]=6, agg_orders_daily_revenue[[#This Row],[Weekday_Num]]=7), "Weekend", "Weekday")</f>
        <v>Weekday</v>
      </c>
      <c r="J269" t="str">
        <f>TEXT(agg_orders_daily_revenue[[#This Row],[Order_Date]], "ddd")</f>
        <v>Tue</v>
      </c>
    </row>
    <row r="270" spans="1:10" x14ac:dyDescent="0.4">
      <c r="A270" s="1">
        <v>45560</v>
      </c>
      <c r="B270">
        <v>484781</v>
      </c>
      <c r="C270">
        <v>512715.57</v>
      </c>
      <c r="D270">
        <v>378</v>
      </c>
      <c r="E270">
        <f>YEAR(agg_orders_daily_revenue[[#This Row],[Order_Date]])</f>
        <v>2024</v>
      </c>
      <c r="F270">
        <f>MONTH(agg_orders_daily_revenue[[#This Row],[Order_Date]])</f>
        <v>9</v>
      </c>
      <c r="G270" t="str">
        <f>TEXT(agg_orders_daily_revenue[[#This Row],[Order_Date]],"yyyy-mm")</f>
        <v>2024-09</v>
      </c>
      <c r="H270">
        <f>WEEKDAY(agg_orders_daily_revenue[[#This Row],[Order_Date]],2)</f>
        <v>3</v>
      </c>
      <c r="I270" t="str">
        <f>IF(OR(agg_orders_daily_revenue[[#This Row],[Weekday_Num]]=6, agg_orders_daily_revenue[[#This Row],[Weekday_Num]]=7), "Weekend", "Weekday")</f>
        <v>Weekday</v>
      </c>
      <c r="J270" t="str">
        <f>TEXT(agg_orders_daily_revenue[[#This Row],[Order_Date]], "ddd")</f>
        <v>Wed</v>
      </c>
    </row>
    <row r="271" spans="1:10" x14ac:dyDescent="0.4">
      <c r="A271" s="1">
        <v>45561</v>
      </c>
      <c r="B271">
        <v>521938</v>
      </c>
      <c r="C271">
        <v>514252.57</v>
      </c>
      <c r="D271">
        <v>416</v>
      </c>
      <c r="E271">
        <f>YEAR(agg_orders_daily_revenue[[#This Row],[Order_Date]])</f>
        <v>2024</v>
      </c>
      <c r="F271">
        <f>MONTH(agg_orders_daily_revenue[[#This Row],[Order_Date]])</f>
        <v>9</v>
      </c>
      <c r="G271" t="str">
        <f>TEXT(agg_orders_daily_revenue[[#This Row],[Order_Date]],"yyyy-mm")</f>
        <v>2024-09</v>
      </c>
      <c r="H271">
        <f>WEEKDAY(agg_orders_daily_revenue[[#This Row],[Order_Date]],2)</f>
        <v>4</v>
      </c>
      <c r="I271" t="str">
        <f>IF(OR(agg_orders_daily_revenue[[#This Row],[Weekday_Num]]=6, agg_orders_daily_revenue[[#This Row],[Weekday_Num]]=7), "Weekend", "Weekday")</f>
        <v>Weekday</v>
      </c>
      <c r="J271" t="str">
        <f>TEXT(agg_orders_daily_revenue[[#This Row],[Order_Date]], "ddd")</f>
        <v>Thu</v>
      </c>
    </row>
    <row r="272" spans="1:10" x14ac:dyDescent="0.4">
      <c r="A272" s="1">
        <v>45562</v>
      </c>
      <c r="B272">
        <v>506539</v>
      </c>
      <c r="C272">
        <v>513941.86</v>
      </c>
      <c r="D272">
        <v>426</v>
      </c>
      <c r="E272">
        <f>YEAR(agg_orders_daily_revenue[[#This Row],[Order_Date]])</f>
        <v>2024</v>
      </c>
      <c r="F272">
        <f>MONTH(agg_orders_daily_revenue[[#This Row],[Order_Date]])</f>
        <v>9</v>
      </c>
      <c r="G272" t="str">
        <f>TEXT(agg_orders_daily_revenue[[#This Row],[Order_Date]],"yyyy-mm")</f>
        <v>2024-09</v>
      </c>
      <c r="H272">
        <f>WEEKDAY(agg_orders_daily_revenue[[#This Row],[Order_Date]],2)</f>
        <v>5</v>
      </c>
      <c r="I272" t="str">
        <f>IF(OR(agg_orders_daily_revenue[[#This Row],[Weekday_Num]]=6, agg_orders_daily_revenue[[#This Row],[Weekday_Num]]=7), "Weekend", "Weekday")</f>
        <v>Weekday</v>
      </c>
      <c r="J272" t="str">
        <f>TEXT(agg_orders_daily_revenue[[#This Row],[Order_Date]], "ddd")</f>
        <v>Fri</v>
      </c>
    </row>
    <row r="273" spans="1:10" x14ac:dyDescent="0.4">
      <c r="A273" s="1">
        <v>45563</v>
      </c>
      <c r="B273">
        <v>499463</v>
      </c>
      <c r="C273">
        <v>510502.86</v>
      </c>
      <c r="D273">
        <v>388</v>
      </c>
      <c r="E273">
        <f>YEAR(agg_orders_daily_revenue[[#This Row],[Order_Date]])</f>
        <v>2024</v>
      </c>
      <c r="F273">
        <f>MONTH(agg_orders_daily_revenue[[#This Row],[Order_Date]])</f>
        <v>9</v>
      </c>
      <c r="G273" t="str">
        <f>TEXT(agg_orders_daily_revenue[[#This Row],[Order_Date]],"yyyy-mm")</f>
        <v>2024-09</v>
      </c>
      <c r="H273">
        <f>WEEKDAY(agg_orders_daily_revenue[[#This Row],[Order_Date]],2)</f>
        <v>6</v>
      </c>
      <c r="I273" t="str">
        <f>IF(OR(agg_orders_daily_revenue[[#This Row],[Weekday_Num]]=6, agg_orders_daily_revenue[[#This Row],[Weekday_Num]]=7), "Weekend", "Weekday")</f>
        <v>Weekend</v>
      </c>
      <c r="J273" t="str">
        <f>TEXT(agg_orders_daily_revenue[[#This Row],[Order_Date]], "ddd")</f>
        <v>Sat</v>
      </c>
    </row>
    <row r="274" spans="1:10" x14ac:dyDescent="0.4">
      <c r="A274" s="1">
        <v>45564</v>
      </c>
      <c r="B274">
        <v>536987</v>
      </c>
      <c r="C274">
        <v>516354.14</v>
      </c>
      <c r="D274">
        <v>428</v>
      </c>
      <c r="E274">
        <f>YEAR(agg_orders_daily_revenue[[#This Row],[Order_Date]])</f>
        <v>2024</v>
      </c>
      <c r="F274">
        <f>MONTH(agg_orders_daily_revenue[[#This Row],[Order_Date]])</f>
        <v>9</v>
      </c>
      <c r="G274" t="str">
        <f>TEXT(agg_orders_daily_revenue[[#This Row],[Order_Date]],"yyyy-mm")</f>
        <v>2024-09</v>
      </c>
      <c r="H274">
        <f>WEEKDAY(agg_orders_daily_revenue[[#This Row],[Order_Date]],2)</f>
        <v>7</v>
      </c>
      <c r="I274" t="str">
        <f>IF(OR(agg_orders_daily_revenue[[#This Row],[Weekday_Num]]=6, agg_orders_daily_revenue[[#This Row],[Weekday_Num]]=7), "Weekend", "Weekday")</f>
        <v>Weekend</v>
      </c>
      <c r="J274" t="str">
        <f>TEXT(agg_orders_daily_revenue[[#This Row],[Order_Date]], "ddd")</f>
        <v>Sun</v>
      </c>
    </row>
    <row r="275" spans="1:10" x14ac:dyDescent="0.4">
      <c r="A275" s="1">
        <v>45565</v>
      </c>
      <c r="B275">
        <v>488796</v>
      </c>
      <c r="C275">
        <v>512603.14</v>
      </c>
      <c r="D275">
        <v>397</v>
      </c>
      <c r="E275">
        <f>YEAR(agg_orders_daily_revenue[[#This Row],[Order_Date]])</f>
        <v>2024</v>
      </c>
      <c r="F275">
        <f>MONTH(agg_orders_daily_revenue[[#This Row],[Order_Date]])</f>
        <v>9</v>
      </c>
      <c r="G275" t="str">
        <f>TEXT(agg_orders_daily_revenue[[#This Row],[Order_Date]],"yyyy-mm")</f>
        <v>2024-09</v>
      </c>
      <c r="H275">
        <f>WEEKDAY(agg_orders_daily_revenue[[#This Row],[Order_Date]],2)</f>
        <v>1</v>
      </c>
      <c r="I275" t="str">
        <f>IF(OR(agg_orders_daily_revenue[[#This Row],[Weekday_Num]]=6, agg_orders_daily_revenue[[#This Row],[Weekday_Num]]=7), "Weekend", "Weekday")</f>
        <v>Weekday</v>
      </c>
      <c r="J275" t="str">
        <f>TEXT(agg_orders_daily_revenue[[#This Row],[Order_Date]], "ddd")</f>
        <v>Mon</v>
      </c>
    </row>
    <row r="276" spans="1:10" x14ac:dyDescent="0.4">
      <c r="A276" s="1">
        <v>45566</v>
      </c>
      <c r="B276">
        <v>484244</v>
      </c>
      <c r="C276">
        <v>503249.71</v>
      </c>
      <c r="D276">
        <v>390</v>
      </c>
      <c r="E276">
        <f>YEAR(agg_orders_daily_revenue[[#This Row],[Order_Date]])</f>
        <v>2024</v>
      </c>
      <c r="F276">
        <f>MONTH(agg_orders_daily_revenue[[#This Row],[Order_Date]])</f>
        <v>10</v>
      </c>
      <c r="G276" t="str">
        <f>TEXT(agg_orders_daily_revenue[[#This Row],[Order_Date]],"yyyy-mm")</f>
        <v>2024-10</v>
      </c>
      <c r="H276">
        <f>WEEKDAY(agg_orders_daily_revenue[[#This Row],[Order_Date]],2)</f>
        <v>2</v>
      </c>
      <c r="I276" t="str">
        <f>IF(OR(agg_orders_daily_revenue[[#This Row],[Weekday_Num]]=6, agg_orders_daily_revenue[[#This Row],[Weekday_Num]]=7), "Weekend", "Weekday")</f>
        <v>Weekday</v>
      </c>
      <c r="J276" t="str">
        <f>TEXT(agg_orders_daily_revenue[[#This Row],[Order_Date]], "ddd")</f>
        <v>Tue</v>
      </c>
    </row>
    <row r="277" spans="1:10" x14ac:dyDescent="0.4">
      <c r="A277" s="1">
        <v>45567</v>
      </c>
      <c r="B277">
        <v>505900</v>
      </c>
      <c r="C277">
        <v>506266.71</v>
      </c>
      <c r="D277">
        <v>405</v>
      </c>
      <c r="E277">
        <f>YEAR(agg_orders_daily_revenue[[#This Row],[Order_Date]])</f>
        <v>2024</v>
      </c>
      <c r="F277">
        <f>MONTH(agg_orders_daily_revenue[[#This Row],[Order_Date]])</f>
        <v>10</v>
      </c>
      <c r="G277" t="str">
        <f>TEXT(agg_orders_daily_revenue[[#This Row],[Order_Date]],"yyyy-mm")</f>
        <v>2024-10</v>
      </c>
      <c r="H277">
        <f>WEEKDAY(agg_orders_daily_revenue[[#This Row],[Order_Date]],2)</f>
        <v>3</v>
      </c>
      <c r="I277" t="str">
        <f>IF(OR(agg_orders_daily_revenue[[#This Row],[Weekday_Num]]=6, agg_orders_daily_revenue[[#This Row],[Weekday_Num]]=7), "Weekend", "Weekday")</f>
        <v>Weekday</v>
      </c>
      <c r="J277" t="str">
        <f>TEXT(agg_orders_daily_revenue[[#This Row],[Order_Date]], "ddd")</f>
        <v>Wed</v>
      </c>
    </row>
    <row r="278" spans="1:10" x14ac:dyDescent="0.4">
      <c r="A278" s="1">
        <v>45568</v>
      </c>
      <c r="B278">
        <v>554965</v>
      </c>
      <c r="C278">
        <v>510984.86</v>
      </c>
      <c r="D278">
        <v>417</v>
      </c>
      <c r="E278">
        <f>YEAR(agg_orders_daily_revenue[[#This Row],[Order_Date]])</f>
        <v>2024</v>
      </c>
      <c r="F278">
        <f>MONTH(agg_orders_daily_revenue[[#This Row],[Order_Date]])</f>
        <v>10</v>
      </c>
      <c r="G278" t="str">
        <f>TEXT(agg_orders_daily_revenue[[#This Row],[Order_Date]],"yyyy-mm")</f>
        <v>2024-10</v>
      </c>
      <c r="H278">
        <f>WEEKDAY(agg_orders_daily_revenue[[#This Row],[Order_Date]],2)</f>
        <v>4</v>
      </c>
      <c r="I278" t="str">
        <f>IF(OR(agg_orders_daily_revenue[[#This Row],[Weekday_Num]]=6, agg_orders_daily_revenue[[#This Row],[Weekday_Num]]=7), "Weekend", "Weekday")</f>
        <v>Weekday</v>
      </c>
      <c r="J278" t="str">
        <f>TEXT(agg_orders_daily_revenue[[#This Row],[Order_Date]], "ddd")</f>
        <v>Thu</v>
      </c>
    </row>
    <row r="279" spans="1:10" x14ac:dyDescent="0.4">
      <c r="A279" s="1">
        <v>45569</v>
      </c>
      <c r="B279">
        <v>525468</v>
      </c>
      <c r="C279">
        <v>513689</v>
      </c>
      <c r="D279">
        <v>422</v>
      </c>
      <c r="E279">
        <f>YEAR(agg_orders_daily_revenue[[#This Row],[Order_Date]])</f>
        <v>2024</v>
      </c>
      <c r="F279">
        <f>MONTH(agg_orders_daily_revenue[[#This Row],[Order_Date]])</f>
        <v>10</v>
      </c>
      <c r="G279" t="str">
        <f>TEXT(agg_orders_daily_revenue[[#This Row],[Order_Date]],"yyyy-mm")</f>
        <v>2024-10</v>
      </c>
      <c r="H279">
        <f>WEEKDAY(agg_orders_daily_revenue[[#This Row],[Order_Date]],2)</f>
        <v>5</v>
      </c>
      <c r="I279" t="str">
        <f>IF(OR(agg_orders_daily_revenue[[#This Row],[Weekday_Num]]=6, agg_orders_daily_revenue[[#This Row],[Weekday_Num]]=7), "Weekend", "Weekday")</f>
        <v>Weekday</v>
      </c>
      <c r="J279" t="str">
        <f>TEXT(agg_orders_daily_revenue[[#This Row],[Order_Date]], "ddd")</f>
        <v>Fri</v>
      </c>
    </row>
    <row r="280" spans="1:10" x14ac:dyDescent="0.4">
      <c r="A280" s="1">
        <v>45570</v>
      </c>
      <c r="B280">
        <v>496258</v>
      </c>
      <c r="C280">
        <v>513231.14</v>
      </c>
      <c r="D280">
        <v>406</v>
      </c>
      <c r="E280">
        <f>YEAR(agg_orders_daily_revenue[[#This Row],[Order_Date]])</f>
        <v>2024</v>
      </c>
      <c r="F280">
        <f>MONTH(agg_orders_daily_revenue[[#This Row],[Order_Date]])</f>
        <v>10</v>
      </c>
      <c r="G280" t="str">
        <f>TEXT(agg_orders_daily_revenue[[#This Row],[Order_Date]],"yyyy-mm")</f>
        <v>2024-10</v>
      </c>
      <c r="H280">
        <f>WEEKDAY(agg_orders_daily_revenue[[#This Row],[Order_Date]],2)</f>
        <v>6</v>
      </c>
      <c r="I280" t="str">
        <f>IF(OR(agg_orders_daily_revenue[[#This Row],[Weekday_Num]]=6, agg_orders_daily_revenue[[#This Row],[Weekday_Num]]=7), "Weekend", "Weekday")</f>
        <v>Weekend</v>
      </c>
      <c r="J280" t="str">
        <f>TEXT(agg_orders_daily_revenue[[#This Row],[Order_Date]], "ddd")</f>
        <v>Sat</v>
      </c>
    </row>
    <row r="281" spans="1:10" x14ac:dyDescent="0.4">
      <c r="A281" s="1">
        <v>45571</v>
      </c>
      <c r="B281">
        <v>506753</v>
      </c>
      <c r="C281">
        <v>508912</v>
      </c>
      <c r="D281">
        <v>434</v>
      </c>
      <c r="E281">
        <f>YEAR(agg_orders_daily_revenue[[#This Row],[Order_Date]])</f>
        <v>2024</v>
      </c>
      <c r="F281">
        <f>MONTH(agg_orders_daily_revenue[[#This Row],[Order_Date]])</f>
        <v>10</v>
      </c>
      <c r="G281" t="str">
        <f>TEXT(agg_orders_daily_revenue[[#This Row],[Order_Date]],"yyyy-mm")</f>
        <v>2024-10</v>
      </c>
      <c r="H281">
        <f>WEEKDAY(agg_orders_daily_revenue[[#This Row],[Order_Date]],2)</f>
        <v>7</v>
      </c>
      <c r="I281" t="str">
        <f>IF(OR(agg_orders_daily_revenue[[#This Row],[Weekday_Num]]=6, agg_orders_daily_revenue[[#This Row],[Weekday_Num]]=7), "Weekend", "Weekday")</f>
        <v>Weekend</v>
      </c>
      <c r="J281" t="str">
        <f>TEXT(agg_orders_daily_revenue[[#This Row],[Order_Date]], "ddd")</f>
        <v>Sun</v>
      </c>
    </row>
    <row r="282" spans="1:10" x14ac:dyDescent="0.4">
      <c r="A282" s="1">
        <v>45572</v>
      </c>
      <c r="B282">
        <v>552227</v>
      </c>
      <c r="C282">
        <v>517973.57</v>
      </c>
      <c r="D282">
        <v>423</v>
      </c>
      <c r="E282">
        <f>YEAR(agg_orders_daily_revenue[[#This Row],[Order_Date]])</f>
        <v>2024</v>
      </c>
      <c r="F282">
        <f>MONTH(agg_orders_daily_revenue[[#This Row],[Order_Date]])</f>
        <v>10</v>
      </c>
      <c r="G282" t="str">
        <f>TEXT(agg_orders_daily_revenue[[#This Row],[Order_Date]],"yyyy-mm")</f>
        <v>2024-10</v>
      </c>
      <c r="H282">
        <f>WEEKDAY(agg_orders_daily_revenue[[#This Row],[Order_Date]],2)</f>
        <v>1</v>
      </c>
      <c r="I282" t="str">
        <f>IF(OR(agg_orders_daily_revenue[[#This Row],[Weekday_Num]]=6, agg_orders_daily_revenue[[#This Row],[Weekday_Num]]=7), "Weekend", "Weekday")</f>
        <v>Weekday</v>
      </c>
      <c r="J282" t="str">
        <f>TEXT(agg_orders_daily_revenue[[#This Row],[Order_Date]], "ddd")</f>
        <v>Mon</v>
      </c>
    </row>
    <row r="283" spans="1:10" x14ac:dyDescent="0.4">
      <c r="A283" s="1">
        <v>45573</v>
      </c>
      <c r="B283">
        <v>486401</v>
      </c>
      <c r="C283">
        <v>518281.71</v>
      </c>
      <c r="D283">
        <v>390</v>
      </c>
      <c r="E283">
        <f>YEAR(agg_orders_daily_revenue[[#This Row],[Order_Date]])</f>
        <v>2024</v>
      </c>
      <c r="F283">
        <f>MONTH(agg_orders_daily_revenue[[#This Row],[Order_Date]])</f>
        <v>10</v>
      </c>
      <c r="G283" t="str">
        <f>TEXT(agg_orders_daily_revenue[[#This Row],[Order_Date]],"yyyy-mm")</f>
        <v>2024-10</v>
      </c>
      <c r="H283">
        <f>WEEKDAY(agg_orders_daily_revenue[[#This Row],[Order_Date]],2)</f>
        <v>2</v>
      </c>
      <c r="I283" t="str">
        <f>IF(OR(agg_orders_daily_revenue[[#This Row],[Weekday_Num]]=6, agg_orders_daily_revenue[[#This Row],[Weekday_Num]]=7), "Weekend", "Weekday")</f>
        <v>Weekday</v>
      </c>
      <c r="J283" t="str">
        <f>TEXT(agg_orders_daily_revenue[[#This Row],[Order_Date]], "ddd")</f>
        <v>Tue</v>
      </c>
    </row>
    <row r="284" spans="1:10" x14ac:dyDescent="0.4">
      <c r="A284" s="1">
        <v>45574</v>
      </c>
      <c r="B284">
        <v>530491</v>
      </c>
      <c r="C284">
        <v>521794.71</v>
      </c>
      <c r="D284">
        <v>427</v>
      </c>
      <c r="E284">
        <f>YEAR(agg_orders_daily_revenue[[#This Row],[Order_Date]])</f>
        <v>2024</v>
      </c>
      <c r="F284">
        <f>MONTH(agg_orders_daily_revenue[[#This Row],[Order_Date]])</f>
        <v>10</v>
      </c>
      <c r="G284" t="str">
        <f>TEXT(agg_orders_daily_revenue[[#This Row],[Order_Date]],"yyyy-mm")</f>
        <v>2024-10</v>
      </c>
      <c r="H284">
        <f>WEEKDAY(agg_orders_daily_revenue[[#This Row],[Order_Date]],2)</f>
        <v>3</v>
      </c>
      <c r="I284" t="str">
        <f>IF(OR(agg_orders_daily_revenue[[#This Row],[Weekday_Num]]=6, agg_orders_daily_revenue[[#This Row],[Weekday_Num]]=7), "Weekend", "Weekday")</f>
        <v>Weekday</v>
      </c>
      <c r="J284" t="str">
        <f>TEXT(agg_orders_daily_revenue[[#This Row],[Order_Date]], "ddd")</f>
        <v>Wed</v>
      </c>
    </row>
    <row r="285" spans="1:10" x14ac:dyDescent="0.4">
      <c r="A285" s="1">
        <v>45575</v>
      </c>
      <c r="B285">
        <v>517614</v>
      </c>
      <c r="C285">
        <v>516458.86</v>
      </c>
      <c r="D285">
        <v>400</v>
      </c>
      <c r="E285">
        <f>YEAR(agg_orders_daily_revenue[[#This Row],[Order_Date]])</f>
        <v>2024</v>
      </c>
      <c r="F285">
        <f>MONTH(agg_orders_daily_revenue[[#This Row],[Order_Date]])</f>
        <v>10</v>
      </c>
      <c r="G285" t="str">
        <f>TEXT(agg_orders_daily_revenue[[#This Row],[Order_Date]],"yyyy-mm")</f>
        <v>2024-10</v>
      </c>
      <c r="H285">
        <f>WEEKDAY(agg_orders_daily_revenue[[#This Row],[Order_Date]],2)</f>
        <v>4</v>
      </c>
      <c r="I285" t="str">
        <f>IF(OR(agg_orders_daily_revenue[[#This Row],[Weekday_Num]]=6, agg_orders_daily_revenue[[#This Row],[Weekday_Num]]=7), "Weekend", "Weekday")</f>
        <v>Weekday</v>
      </c>
      <c r="J285" t="str">
        <f>TEXT(agg_orders_daily_revenue[[#This Row],[Order_Date]], "ddd")</f>
        <v>Thu</v>
      </c>
    </row>
    <row r="286" spans="1:10" x14ac:dyDescent="0.4">
      <c r="A286" s="1">
        <v>45576</v>
      </c>
      <c r="B286">
        <v>512939</v>
      </c>
      <c r="C286">
        <v>514669</v>
      </c>
      <c r="D286">
        <v>434</v>
      </c>
      <c r="E286">
        <f>YEAR(agg_orders_daily_revenue[[#This Row],[Order_Date]])</f>
        <v>2024</v>
      </c>
      <c r="F286">
        <f>MONTH(agg_orders_daily_revenue[[#This Row],[Order_Date]])</f>
        <v>10</v>
      </c>
      <c r="G286" t="str">
        <f>TEXT(agg_orders_daily_revenue[[#This Row],[Order_Date]],"yyyy-mm")</f>
        <v>2024-10</v>
      </c>
      <c r="H286">
        <f>WEEKDAY(agg_orders_daily_revenue[[#This Row],[Order_Date]],2)</f>
        <v>5</v>
      </c>
      <c r="I286" t="str">
        <f>IF(OR(agg_orders_daily_revenue[[#This Row],[Weekday_Num]]=6, agg_orders_daily_revenue[[#This Row],[Weekday_Num]]=7), "Weekend", "Weekday")</f>
        <v>Weekday</v>
      </c>
      <c r="J286" t="str">
        <f>TEXT(agg_orders_daily_revenue[[#This Row],[Order_Date]], "ddd")</f>
        <v>Fri</v>
      </c>
    </row>
    <row r="287" spans="1:10" x14ac:dyDescent="0.4">
      <c r="A287" s="1">
        <v>45577</v>
      </c>
      <c r="B287">
        <v>516356</v>
      </c>
      <c r="C287">
        <v>517540.14</v>
      </c>
      <c r="D287">
        <v>412</v>
      </c>
      <c r="E287">
        <f>YEAR(agg_orders_daily_revenue[[#This Row],[Order_Date]])</f>
        <v>2024</v>
      </c>
      <c r="F287">
        <f>MONTH(agg_orders_daily_revenue[[#This Row],[Order_Date]])</f>
        <v>10</v>
      </c>
      <c r="G287" t="str">
        <f>TEXT(agg_orders_daily_revenue[[#This Row],[Order_Date]],"yyyy-mm")</f>
        <v>2024-10</v>
      </c>
      <c r="H287">
        <f>WEEKDAY(agg_orders_daily_revenue[[#This Row],[Order_Date]],2)</f>
        <v>6</v>
      </c>
      <c r="I287" t="str">
        <f>IF(OR(agg_orders_daily_revenue[[#This Row],[Weekday_Num]]=6, agg_orders_daily_revenue[[#This Row],[Weekday_Num]]=7), "Weekend", "Weekday")</f>
        <v>Weekend</v>
      </c>
      <c r="J287" t="str">
        <f>TEXT(agg_orders_daily_revenue[[#This Row],[Order_Date]], "ddd")</f>
        <v>Sat</v>
      </c>
    </row>
    <row r="288" spans="1:10" x14ac:dyDescent="0.4">
      <c r="A288" s="1">
        <v>45578</v>
      </c>
      <c r="B288">
        <v>506674</v>
      </c>
      <c r="C288">
        <v>517528.86</v>
      </c>
      <c r="D288">
        <v>408</v>
      </c>
      <c r="E288">
        <f>YEAR(agg_orders_daily_revenue[[#This Row],[Order_Date]])</f>
        <v>2024</v>
      </c>
      <c r="F288">
        <f>MONTH(agg_orders_daily_revenue[[#This Row],[Order_Date]])</f>
        <v>10</v>
      </c>
      <c r="G288" t="str">
        <f>TEXT(agg_orders_daily_revenue[[#This Row],[Order_Date]],"yyyy-mm")</f>
        <v>2024-10</v>
      </c>
      <c r="H288">
        <f>WEEKDAY(agg_orders_daily_revenue[[#This Row],[Order_Date]],2)</f>
        <v>7</v>
      </c>
      <c r="I288" t="str">
        <f>IF(OR(agg_orders_daily_revenue[[#This Row],[Weekday_Num]]=6, agg_orders_daily_revenue[[#This Row],[Weekday_Num]]=7), "Weekend", "Weekday")</f>
        <v>Weekend</v>
      </c>
      <c r="J288" t="str">
        <f>TEXT(agg_orders_daily_revenue[[#This Row],[Order_Date]], "ddd")</f>
        <v>Sun</v>
      </c>
    </row>
    <row r="289" spans="1:10" x14ac:dyDescent="0.4">
      <c r="A289" s="1">
        <v>45579</v>
      </c>
      <c r="B289">
        <v>502415</v>
      </c>
      <c r="C289">
        <v>510412.86</v>
      </c>
      <c r="D289">
        <v>404</v>
      </c>
      <c r="E289">
        <f>YEAR(agg_orders_daily_revenue[[#This Row],[Order_Date]])</f>
        <v>2024</v>
      </c>
      <c r="F289">
        <f>MONTH(agg_orders_daily_revenue[[#This Row],[Order_Date]])</f>
        <v>10</v>
      </c>
      <c r="G289" t="str">
        <f>TEXT(agg_orders_daily_revenue[[#This Row],[Order_Date]],"yyyy-mm")</f>
        <v>2024-10</v>
      </c>
      <c r="H289">
        <f>WEEKDAY(agg_orders_daily_revenue[[#This Row],[Order_Date]],2)</f>
        <v>1</v>
      </c>
      <c r="I289" t="str">
        <f>IF(OR(agg_orders_daily_revenue[[#This Row],[Weekday_Num]]=6, agg_orders_daily_revenue[[#This Row],[Weekday_Num]]=7), "Weekend", "Weekday")</f>
        <v>Weekday</v>
      </c>
      <c r="J289" t="str">
        <f>TEXT(agg_orders_daily_revenue[[#This Row],[Order_Date]], "ddd")</f>
        <v>Mon</v>
      </c>
    </row>
    <row r="290" spans="1:10" x14ac:dyDescent="0.4">
      <c r="A290" s="1">
        <v>45580</v>
      </c>
      <c r="B290">
        <v>481720</v>
      </c>
      <c r="C290">
        <v>509744.14</v>
      </c>
      <c r="D290">
        <v>393</v>
      </c>
      <c r="E290">
        <f>YEAR(agg_orders_daily_revenue[[#This Row],[Order_Date]])</f>
        <v>2024</v>
      </c>
      <c r="F290">
        <f>MONTH(agg_orders_daily_revenue[[#This Row],[Order_Date]])</f>
        <v>10</v>
      </c>
      <c r="G290" t="str">
        <f>TEXT(agg_orders_daily_revenue[[#This Row],[Order_Date]],"yyyy-mm")</f>
        <v>2024-10</v>
      </c>
      <c r="H290">
        <f>WEEKDAY(agg_orders_daily_revenue[[#This Row],[Order_Date]],2)</f>
        <v>2</v>
      </c>
      <c r="I290" t="str">
        <f>IF(OR(agg_orders_daily_revenue[[#This Row],[Weekday_Num]]=6, agg_orders_daily_revenue[[#This Row],[Weekday_Num]]=7), "Weekend", "Weekday")</f>
        <v>Weekday</v>
      </c>
      <c r="J290" t="str">
        <f>TEXT(agg_orders_daily_revenue[[#This Row],[Order_Date]], "ddd")</f>
        <v>Tue</v>
      </c>
    </row>
    <row r="291" spans="1:10" x14ac:dyDescent="0.4">
      <c r="A291" s="1">
        <v>45581</v>
      </c>
      <c r="B291">
        <v>483515</v>
      </c>
      <c r="C291">
        <v>503033.29</v>
      </c>
      <c r="D291">
        <v>393</v>
      </c>
      <c r="E291">
        <f>YEAR(agg_orders_daily_revenue[[#This Row],[Order_Date]])</f>
        <v>2024</v>
      </c>
      <c r="F291">
        <f>MONTH(agg_orders_daily_revenue[[#This Row],[Order_Date]])</f>
        <v>10</v>
      </c>
      <c r="G291" t="str">
        <f>TEXT(agg_orders_daily_revenue[[#This Row],[Order_Date]],"yyyy-mm")</f>
        <v>2024-10</v>
      </c>
      <c r="H291">
        <f>WEEKDAY(agg_orders_daily_revenue[[#This Row],[Order_Date]],2)</f>
        <v>3</v>
      </c>
      <c r="I291" t="str">
        <f>IF(OR(agg_orders_daily_revenue[[#This Row],[Weekday_Num]]=6, agg_orders_daily_revenue[[#This Row],[Weekday_Num]]=7), "Weekend", "Weekday")</f>
        <v>Weekday</v>
      </c>
      <c r="J291" t="str">
        <f>TEXT(agg_orders_daily_revenue[[#This Row],[Order_Date]], "ddd")</f>
        <v>Wed</v>
      </c>
    </row>
    <row r="292" spans="1:10" x14ac:dyDescent="0.4">
      <c r="A292" s="1">
        <v>45582</v>
      </c>
      <c r="B292">
        <v>551387</v>
      </c>
      <c r="C292">
        <v>507858</v>
      </c>
      <c r="D292">
        <v>431</v>
      </c>
      <c r="E292">
        <f>YEAR(agg_orders_daily_revenue[[#This Row],[Order_Date]])</f>
        <v>2024</v>
      </c>
      <c r="F292">
        <f>MONTH(agg_orders_daily_revenue[[#This Row],[Order_Date]])</f>
        <v>10</v>
      </c>
      <c r="G292" t="str">
        <f>TEXT(agg_orders_daily_revenue[[#This Row],[Order_Date]],"yyyy-mm")</f>
        <v>2024-10</v>
      </c>
      <c r="H292">
        <f>WEEKDAY(agg_orders_daily_revenue[[#This Row],[Order_Date]],2)</f>
        <v>4</v>
      </c>
      <c r="I292" t="str">
        <f>IF(OR(agg_orders_daily_revenue[[#This Row],[Weekday_Num]]=6, agg_orders_daily_revenue[[#This Row],[Weekday_Num]]=7), "Weekend", "Weekday")</f>
        <v>Weekday</v>
      </c>
      <c r="J292" t="str">
        <f>TEXT(agg_orders_daily_revenue[[#This Row],[Order_Date]], "ddd")</f>
        <v>Thu</v>
      </c>
    </row>
    <row r="293" spans="1:10" x14ac:dyDescent="0.4">
      <c r="A293" s="1">
        <v>45583</v>
      </c>
      <c r="B293">
        <v>530413</v>
      </c>
      <c r="C293">
        <v>510354.29</v>
      </c>
      <c r="D293">
        <v>414</v>
      </c>
      <c r="E293">
        <f>YEAR(agg_orders_daily_revenue[[#This Row],[Order_Date]])</f>
        <v>2024</v>
      </c>
      <c r="F293">
        <f>MONTH(agg_orders_daily_revenue[[#This Row],[Order_Date]])</f>
        <v>10</v>
      </c>
      <c r="G293" t="str">
        <f>TEXT(agg_orders_daily_revenue[[#This Row],[Order_Date]],"yyyy-mm")</f>
        <v>2024-10</v>
      </c>
      <c r="H293">
        <f>WEEKDAY(agg_orders_daily_revenue[[#This Row],[Order_Date]],2)</f>
        <v>5</v>
      </c>
      <c r="I293" t="str">
        <f>IF(OR(agg_orders_daily_revenue[[#This Row],[Weekday_Num]]=6, agg_orders_daily_revenue[[#This Row],[Weekday_Num]]=7), "Weekend", "Weekday")</f>
        <v>Weekday</v>
      </c>
      <c r="J293" t="str">
        <f>TEXT(agg_orders_daily_revenue[[#This Row],[Order_Date]], "ddd")</f>
        <v>Fri</v>
      </c>
    </row>
    <row r="294" spans="1:10" x14ac:dyDescent="0.4">
      <c r="A294" s="1">
        <v>45584</v>
      </c>
      <c r="B294">
        <v>507557</v>
      </c>
      <c r="C294">
        <v>509097.29</v>
      </c>
      <c r="D294">
        <v>402</v>
      </c>
      <c r="E294">
        <f>YEAR(agg_orders_daily_revenue[[#This Row],[Order_Date]])</f>
        <v>2024</v>
      </c>
      <c r="F294">
        <f>MONTH(agg_orders_daily_revenue[[#This Row],[Order_Date]])</f>
        <v>10</v>
      </c>
      <c r="G294" t="str">
        <f>TEXT(agg_orders_daily_revenue[[#This Row],[Order_Date]],"yyyy-mm")</f>
        <v>2024-10</v>
      </c>
      <c r="H294">
        <f>WEEKDAY(agg_orders_daily_revenue[[#This Row],[Order_Date]],2)</f>
        <v>6</v>
      </c>
      <c r="I294" t="str">
        <f>IF(OR(agg_orders_daily_revenue[[#This Row],[Weekday_Num]]=6, agg_orders_daily_revenue[[#This Row],[Weekday_Num]]=7), "Weekend", "Weekday")</f>
        <v>Weekend</v>
      </c>
      <c r="J294" t="str">
        <f>TEXT(agg_orders_daily_revenue[[#This Row],[Order_Date]], "ddd")</f>
        <v>Sat</v>
      </c>
    </row>
    <row r="295" spans="1:10" x14ac:dyDescent="0.4">
      <c r="A295" s="1">
        <v>45585</v>
      </c>
      <c r="B295">
        <v>471723</v>
      </c>
      <c r="C295">
        <v>504104.29</v>
      </c>
      <c r="D295">
        <v>384</v>
      </c>
      <c r="E295">
        <f>YEAR(agg_orders_daily_revenue[[#This Row],[Order_Date]])</f>
        <v>2024</v>
      </c>
      <c r="F295">
        <f>MONTH(agg_orders_daily_revenue[[#This Row],[Order_Date]])</f>
        <v>10</v>
      </c>
      <c r="G295" t="str">
        <f>TEXT(agg_orders_daily_revenue[[#This Row],[Order_Date]],"yyyy-mm")</f>
        <v>2024-10</v>
      </c>
      <c r="H295">
        <f>WEEKDAY(agg_orders_daily_revenue[[#This Row],[Order_Date]],2)</f>
        <v>7</v>
      </c>
      <c r="I295" t="str">
        <f>IF(OR(agg_orders_daily_revenue[[#This Row],[Weekday_Num]]=6, agg_orders_daily_revenue[[#This Row],[Weekday_Num]]=7), "Weekend", "Weekday")</f>
        <v>Weekend</v>
      </c>
      <c r="J295" t="str">
        <f>TEXT(agg_orders_daily_revenue[[#This Row],[Order_Date]], "ddd")</f>
        <v>Sun</v>
      </c>
    </row>
    <row r="296" spans="1:10" x14ac:dyDescent="0.4">
      <c r="A296" s="1">
        <v>45586</v>
      </c>
      <c r="B296">
        <v>511054</v>
      </c>
      <c r="C296">
        <v>505338.43</v>
      </c>
      <c r="D296">
        <v>397</v>
      </c>
      <c r="E296">
        <f>YEAR(agg_orders_daily_revenue[[#This Row],[Order_Date]])</f>
        <v>2024</v>
      </c>
      <c r="F296">
        <f>MONTH(agg_orders_daily_revenue[[#This Row],[Order_Date]])</f>
        <v>10</v>
      </c>
      <c r="G296" t="str">
        <f>TEXT(agg_orders_daily_revenue[[#This Row],[Order_Date]],"yyyy-mm")</f>
        <v>2024-10</v>
      </c>
      <c r="H296">
        <f>WEEKDAY(agg_orders_daily_revenue[[#This Row],[Order_Date]],2)</f>
        <v>1</v>
      </c>
      <c r="I296" t="str">
        <f>IF(OR(agg_orders_daily_revenue[[#This Row],[Weekday_Num]]=6, agg_orders_daily_revenue[[#This Row],[Weekday_Num]]=7), "Weekend", "Weekday")</f>
        <v>Weekday</v>
      </c>
      <c r="J296" t="str">
        <f>TEXT(agg_orders_daily_revenue[[#This Row],[Order_Date]], "ddd")</f>
        <v>Mon</v>
      </c>
    </row>
    <row r="297" spans="1:10" x14ac:dyDescent="0.4">
      <c r="A297" s="1">
        <v>45587</v>
      </c>
      <c r="B297">
        <v>477899</v>
      </c>
      <c r="C297">
        <v>504792.57</v>
      </c>
      <c r="D297">
        <v>401</v>
      </c>
      <c r="E297">
        <f>YEAR(agg_orders_daily_revenue[[#This Row],[Order_Date]])</f>
        <v>2024</v>
      </c>
      <c r="F297">
        <f>MONTH(agg_orders_daily_revenue[[#This Row],[Order_Date]])</f>
        <v>10</v>
      </c>
      <c r="G297" t="str">
        <f>TEXT(agg_orders_daily_revenue[[#This Row],[Order_Date]],"yyyy-mm")</f>
        <v>2024-10</v>
      </c>
      <c r="H297">
        <f>WEEKDAY(agg_orders_daily_revenue[[#This Row],[Order_Date]],2)</f>
        <v>2</v>
      </c>
      <c r="I297" t="str">
        <f>IF(OR(agg_orders_daily_revenue[[#This Row],[Weekday_Num]]=6, agg_orders_daily_revenue[[#This Row],[Weekday_Num]]=7), "Weekend", "Weekday")</f>
        <v>Weekday</v>
      </c>
      <c r="J297" t="str">
        <f>TEXT(agg_orders_daily_revenue[[#This Row],[Order_Date]], "ddd")</f>
        <v>Tue</v>
      </c>
    </row>
    <row r="298" spans="1:10" x14ac:dyDescent="0.4">
      <c r="A298" s="1">
        <v>45588</v>
      </c>
      <c r="B298">
        <v>469427</v>
      </c>
      <c r="C298">
        <v>502780</v>
      </c>
      <c r="D298">
        <v>384</v>
      </c>
      <c r="E298">
        <f>YEAR(agg_orders_daily_revenue[[#This Row],[Order_Date]])</f>
        <v>2024</v>
      </c>
      <c r="F298">
        <f>MONTH(agg_orders_daily_revenue[[#This Row],[Order_Date]])</f>
        <v>10</v>
      </c>
      <c r="G298" t="str">
        <f>TEXT(agg_orders_daily_revenue[[#This Row],[Order_Date]],"yyyy-mm")</f>
        <v>2024-10</v>
      </c>
      <c r="H298">
        <f>WEEKDAY(agg_orders_daily_revenue[[#This Row],[Order_Date]],2)</f>
        <v>3</v>
      </c>
      <c r="I298" t="str">
        <f>IF(OR(agg_orders_daily_revenue[[#This Row],[Weekday_Num]]=6, agg_orders_daily_revenue[[#This Row],[Weekday_Num]]=7), "Weekend", "Weekday")</f>
        <v>Weekday</v>
      </c>
      <c r="J298" t="str">
        <f>TEXT(agg_orders_daily_revenue[[#This Row],[Order_Date]], "ddd")</f>
        <v>Wed</v>
      </c>
    </row>
    <row r="299" spans="1:10" x14ac:dyDescent="0.4">
      <c r="A299" s="1">
        <v>45589</v>
      </c>
      <c r="B299">
        <v>539006</v>
      </c>
      <c r="C299">
        <v>501011.29</v>
      </c>
      <c r="D299">
        <v>434</v>
      </c>
      <c r="E299">
        <f>YEAR(agg_orders_daily_revenue[[#This Row],[Order_Date]])</f>
        <v>2024</v>
      </c>
      <c r="F299">
        <f>MONTH(agg_orders_daily_revenue[[#This Row],[Order_Date]])</f>
        <v>10</v>
      </c>
      <c r="G299" t="str">
        <f>TEXT(agg_orders_daily_revenue[[#This Row],[Order_Date]],"yyyy-mm")</f>
        <v>2024-10</v>
      </c>
      <c r="H299">
        <f>WEEKDAY(agg_orders_daily_revenue[[#This Row],[Order_Date]],2)</f>
        <v>4</v>
      </c>
      <c r="I299" t="str">
        <f>IF(OR(agg_orders_daily_revenue[[#This Row],[Weekday_Num]]=6, agg_orders_daily_revenue[[#This Row],[Weekday_Num]]=7), "Weekend", "Weekday")</f>
        <v>Weekday</v>
      </c>
      <c r="J299" t="str">
        <f>TEXT(agg_orders_daily_revenue[[#This Row],[Order_Date]], "ddd")</f>
        <v>Thu</v>
      </c>
    </row>
    <row r="300" spans="1:10" x14ac:dyDescent="0.4">
      <c r="A300" s="1">
        <v>45590</v>
      </c>
      <c r="B300">
        <v>551379</v>
      </c>
      <c r="C300">
        <v>504006.43</v>
      </c>
      <c r="D300">
        <v>427</v>
      </c>
      <c r="E300">
        <f>YEAR(agg_orders_daily_revenue[[#This Row],[Order_Date]])</f>
        <v>2024</v>
      </c>
      <c r="F300">
        <f>MONTH(agg_orders_daily_revenue[[#This Row],[Order_Date]])</f>
        <v>10</v>
      </c>
      <c r="G300" t="str">
        <f>TEXT(agg_orders_daily_revenue[[#This Row],[Order_Date]],"yyyy-mm")</f>
        <v>2024-10</v>
      </c>
      <c r="H300">
        <f>WEEKDAY(agg_orders_daily_revenue[[#This Row],[Order_Date]],2)</f>
        <v>5</v>
      </c>
      <c r="I300" t="str">
        <f>IF(OR(agg_orders_daily_revenue[[#This Row],[Weekday_Num]]=6, agg_orders_daily_revenue[[#This Row],[Weekday_Num]]=7), "Weekend", "Weekday")</f>
        <v>Weekday</v>
      </c>
      <c r="J300" t="str">
        <f>TEXT(agg_orders_daily_revenue[[#This Row],[Order_Date]], "ddd")</f>
        <v>Fri</v>
      </c>
    </row>
    <row r="301" spans="1:10" x14ac:dyDescent="0.4">
      <c r="A301" s="1">
        <v>45591</v>
      </c>
      <c r="B301">
        <v>542123</v>
      </c>
      <c r="C301">
        <v>508944.43</v>
      </c>
      <c r="D301">
        <v>425</v>
      </c>
      <c r="E301">
        <f>YEAR(agg_orders_daily_revenue[[#This Row],[Order_Date]])</f>
        <v>2024</v>
      </c>
      <c r="F301">
        <f>MONTH(agg_orders_daily_revenue[[#This Row],[Order_Date]])</f>
        <v>10</v>
      </c>
      <c r="G301" t="str">
        <f>TEXT(agg_orders_daily_revenue[[#This Row],[Order_Date]],"yyyy-mm")</f>
        <v>2024-10</v>
      </c>
      <c r="H301">
        <f>WEEKDAY(agg_orders_daily_revenue[[#This Row],[Order_Date]],2)</f>
        <v>6</v>
      </c>
      <c r="I301" t="str">
        <f>IF(OR(agg_orders_daily_revenue[[#This Row],[Weekday_Num]]=6, agg_orders_daily_revenue[[#This Row],[Weekday_Num]]=7), "Weekend", "Weekday")</f>
        <v>Weekend</v>
      </c>
      <c r="J301" t="str">
        <f>TEXT(agg_orders_daily_revenue[[#This Row],[Order_Date]], "ddd")</f>
        <v>Sat</v>
      </c>
    </row>
    <row r="302" spans="1:10" x14ac:dyDescent="0.4">
      <c r="A302" s="1">
        <v>45592</v>
      </c>
      <c r="B302">
        <v>487699</v>
      </c>
      <c r="C302">
        <v>511226.71</v>
      </c>
      <c r="D302">
        <v>387</v>
      </c>
      <c r="E302">
        <f>YEAR(agg_orders_daily_revenue[[#This Row],[Order_Date]])</f>
        <v>2024</v>
      </c>
      <c r="F302">
        <f>MONTH(agg_orders_daily_revenue[[#This Row],[Order_Date]])</f>
        <v>10</v>
      </c>
      <c r="G302" t="str">
        <f>TEXT(agg_orders_daily_revenue[[#This Row],[Order_Date]],"yyyy-mm")</f>
        <v>2024-10</v>
      </c>
      <c r="H302">
        <f>WEEKDAY(agg_orders_daily_revenue[[#This Row],[Order_Date]],2)</f>
        <v>7</v>
      </c>
      <c r="I302" t="str">
        <f>IF(OR(agg_orders_daily_revenue[[#This Row],[Weekday_Num]]=6, agg_orders_daily_revenue[[#This Row],[Weekday_Num]]=7), "Weekend", "Weekday")</f>
        <v>Weekend</v>
      </c>
      <c r="J302" t="str">
        <f>TEXT(agg_orders_daily_revenue[[#This Row],[Order_Date]], "ddd")</f>
        <v>Sun</v>
      </c>
    </row>
    <row r="303" spans="1:10" x14ac:dyDescent="0.4">
      <c r="A303" s="1">
        <v>45593</v>
      </c>
      <c r="B303">
        <v>517850</v>
      </c>
      <c r="C303">
        <v>512197.57</v>
      </c>
      <c r="D303">
        <v>408</v>
      </c>
      <c r="E303">
        <f>YEAR(agg_orders_daily_revenue[[#This Row],[Order_Date]])</f>
        <v>2024</v>
      </c>
      <c r="F303">
        <f>MONTH(agg_orders_daily_revenue[[#This Row],[Order_Date]])</f>
        <v>10</v>
      </c>
      <c r="G303" t="str">
        <f>TEXT(agg_orders_daily_revenue[[#This Row],[Order_Date]],"yyyy-mm")</f>
        <v>2024-10</v>
      </c>
      <c r="H303">
        <f>WEEKDAY(agg_orders_daily_revenue[[#This Row],[Order_Date]],2)</f>
        <v>1</v>
      </c>
      <c r="I303" t="str">
        <f>IF(OR(agg_orders_daily_revenue[[#This Row],[Weekday_Num]]=6, agg_orders_daily_revenue[[#This Row],[Weekday_Num]]=7), "Weekend", "Weekday")</f>
        <v>Weekday</v>
      </c>
      <c r="J303" t="str">
        <f>TEXT(agg_orders_daily_revenue[[#This Row],[Order_Date]], "ddd")</f>
        <v>Mon</v>
      </c>
    </row>
    <row r="304" spans="1:10" x14ac:dyDescent="0.4">
      <c r="A304" s="1">
        <v>45594</v>
      </c>
      <c r="B304">
        <v>526826</v>
      </c>
      <c r="C304">
        <v>519187.14</v>
      </c>
      <c r="D304">
        <v>431</v>
      </c>
      <c r="E304">
        <f>YEAR(agg_orders_daily_revenue[[#This Row],[Order_Date]])</f>
        <v>2024</v>
      </c>
      <c r="F304">
        <f>MONTH(agg_orders_daily_revenue[[#This Row],[Order_Date]])</f>
        <v>10</v>
      </c>
      <c r="G304" t="str">
        <f>TEXT(agg_orders_daily_revenue[[#This Row],[Order_Date]],"yyyy-mm")</f>
        <v>2024-10</v>
      </c>
      <c r="H304">
        <f>WEEKDAY(agg_orders_daily_revenue[[#This Row],[Order_Date]],2)</f>
        <v>2</v>
      </c>
      <c r="I304" t="str">
        <f>IF(OR(agg_orders_daily_revenue[[#This Row],[Weekday_Num]]=6, agg_orders_daily_revenue[[#This Row],[Weekday_Num]]=7), "Weekend", "Weekday")</f>
        <v>Weekday</v>
      </c>
      <c r="J304" t="str">
        <f>TEXT(agg_orders_daily_revenue[[#This Row],[Order_Date]], "ddd")</f>
        <v>Tue</v>
      </c>
    </row>
    <row r="305" spans="1:10" x14ac:dyDescent="0.4">
      <c r="A305" s="1">
        <v>45595</v>
      </c>
      <c r="B305">
        <v>509667</v>
      </c>
      <c r="C305">
        <v>524935.71</v>
      </c>
      <c r="D305">
        <v>410</v>
      </c>
      <c r="E305">
        <f>YEAR(agg_orders_daily_revenue[[#This Row],[Order_Date]])</f>
        <v>2024</v>
      </c>
      <c r="F305">
        <f>MONTH(agg_orders_daily_revenue[[#This Row],[Order_Date]])</f>
        <v>10</v>
      </c>
      <c r="G305" t="str">
        <f>TEXT(agg_orders_daily_revenue[[#This Row],[Order_Date]],"yyyy-mm")</f>
        <v>2024-10</v>
      </c>
      <c r="H305">
        <f>WEEKDAY(agg_orders_daily_revenue[[#This Row],[Order_Date]],2)</f>
        <v>3</v>
      </c>
      <c r="I305" t="str">
        <f>IF(OR(agg_orders_daily_revenue[[#This Row],[Weekday_Num]]=6, agg_orders_daily_revenue[[#This Row],[Weekday_Num]]=7), "Weekend", "Weekday")</f>
        <v>Weekday</v>
      </c>
      <c r="J305" t="str">
        <f>TEXT(agg_orders_daily_revenue[[#This Row],[Order_Date]], "ddd")</f>
        <v>Wed</v>
      </c>
    </row>
    <row r="306" spans="1:10" x14ac:dyDescent="0.4">
      <c r="A306" s="1">
        <v>45596</v>
      </c>
      <c r="B306">
        <v>533877</v>
      </c>
      <c r="C306">
        <v>524203</v>
      </c>
      <c r="D306">
        <v>413</v>
      </c>
      <c r="E306">
        <f>YEAR(agg_orders_daily_revenue[[#This Row],[Order_Date]])</f>
        <v>2024</v>
      </c>
      <c r="F306">
        <f>MONTH(agg_orders_daily_revenue[[#This Row],[Order_Date]])</f>
        <v>10</v>
      </c>
      <c r="G306" t="str">
        <f>TEXT(agg_orders_daily_revenue[[#This Row],[Order_Date]],"yyyy-mm")</f>
        <v>2024-10</v>
      </c>
      <c r="H306">
        <f>WEEKDAY(agg_orders_daily_revenue[[#This Row],[Order_Date]],2)</f>
        <v>4</v>
      </c>
      <c r="I306" t="str">
        <f>IF(OR(agg_orders_daily_revenue[[#This Row],[Weekday_Num]]=6, agg_orders_daily_revenue[[#This Row],[Weekday_Num]]=7), "Weekend", "Weekday")</f>
        <v>Weekday</v>
      </c>
      <c r="J306" t="str">
        <f>TEXT(agg_orders_daily_revenue[[#This Row],[Order_Date]], "ddd")</f>
        <v>Thu</v>
      </c>
    </row>
    <row r="307" spans="1:10" x14ac:dyDescent="0.4">
      <c r="A307" s="1">
        <v>45597</v>
      </c>
      <c r="B307">
        <v>512174</v>
      </c>
      <c r="C307">
        <v>518602.29</v>
      </c>
      <c r="D307">
        <v>427</v>
      </c>
      <c r="E307">
        <f>YEAR(agg_orders_daily_revenue[[#This Row],[Order_Date]])</f>
        <v>2024</v>
      </c>
      <c r="F307">
        <f>MONTH(agg_orders_daily_revenue[[#This Row],[Order_Date]])</f>
        <v>11</v>
      </c>
      <c r="G307" t="str">
        <f>TEXT(agg_orders_daily_revenue[[#This Row],[Order_Date]],"yyyy-mm")</f>
        <v>2024-11</v>
      </c>
      <c r="H307">
        <f>WEEKDAY(agg_orders_daily_revenue[[#This Row],[Order_Date]],2)</f>
        <v>5</v>
      </c>
      <c r="I307" t="str">
        <f>IF(OR(agg_orders_daily_revenue[[#This Row],[Weekday_Num]]=6, agg_orders_daily_revenue[[#This Row],[Weekday_Num]]=7), "Weekend", "Weekday")</f>
        <v>Weekday</v>
      </c>
      <c r="J307" t="str">
        <f>TEXT(agg_orders_daily_revenue[[#This Row],[Order_Date]], "ddd")</f>
        <v>Fri</v>
      </c>
    </row>
    <row r="308" spans="1:10" x14ac:dyDescent="0.4">
      <c r="A308" s="1">
        <v>45598</v>
      </c>
      <c r="B308">
        <v>478493</v>
      </c>
      <c r="C308">
        <v>509512.29</v>
      </c>
      <c r="D308">
        <v>386</v>
      </c>
      <c r="E308">
        <f>YEAR(agg_orders_daily_revenue[[#This Row],[Order_Date]])</f>
        <v>2024</v>
      </c>
      <c r="F308">
        <f>MONTH(agg_orders_daily_revenue[[#This Row],[Order_Date]])</f>
        <v>11</v>
      </c>
      <c r="G308" t="str">
        <f>TEXT(agg_orders_daily_revenue[[#This Row],[Order_Date]],"yyyy-mm")</f>
        <v>2024-11</v>
      </c>
      <c r="H308">
        <f>WEEKDAY(agg_orders_daily_revenue[[#This Row],[Order_Date]],2)</f>
        <v>6</v>
      </c>
      <c r="I308" t="str">
        <f>IF(OR(agg_orders_daily_revenue[[#This Row],[Weekday_Num]]=6, agg_orders_daily_revenue[[#This Row],[Weekday_Num]]=7), "Weekend", "Weekday")</f>
        <v>Weekend</v>
      </c>
      <c r="J308" t="str">
        <f>TEXT(agg_orders_daily_revenue[[#This Row],[Order_Date]], "ddd")</f>
        <v>Sat</v>
      </c>
    </row>
    <row r="309" spans="1:10" x14ac:dyDescent="0.4">
      <c r="A309" s="1">
        <v>45599</v>
      </c>
      <c r="B309">
        <v>495234</v>
      </c>
      <c r="C309">
        <v>510588.71</v>
      </c>
      <c r="D309">
        <v>401</v>
      </c>
      <c r="E309">
        <f>YEAR(agg_orders_daily_revenue[[#This Row],[Order_Date]])</f>
        <v>2024</v>
      </c>
      <c r="F309">
        <f>MONTH(agg_orders_daily_revenue[[#This Row],[Order_Date]])</f>
        <v>11</v>
      </c>
      <c r="G309" t="str">
        <f>TEXT(agg_orders_daily_revenue[[#This Row],[Order_Date]],"yyyy-mm")</f>
        <v>2024-11</v>
      </c>
      <c r="H309">
        <f>WEEKDAY(agg_orders_daily_revenue[[#This Row],[Order_Date]],2)</f>
        <v>7</v>
      </c>
      <c r="I309" t="str">
        <f>IF(OR(agg_orders_daily_revenue[[#This Row],[Weekday_Num]]=6, agg_orders_daily_revenue[[#This Row],[Weekday_Num]]=7), "Weekend", "Weekday")</f>
        <v>Weekend</v>
      </c>
      <c r="J309" t="str">
        <f>TEXT(agg_orders_daily_revenue[[#This Row],[Order_Date]], "ddd")</f>
        <v>Sun</v>
      </c>
    </row>
    <row r="310" spans="1:10" x14ac:dyDescent="0.4">
      <c r="A310" s="1">
        <v>45600</v>
      </c>
      <c r="B310">
        <v>522245</v>
      </c>
      <c r="C310">
        <v>511216.57</v>
      </c>
      <c r="D310">
        <v>418</v>
      </c>
      <c r="E310">
        <f>YEAR(agg_orders_daily_revenue[[#This Row],[Order_Date]])</f>
        <v>2024</v>
      </c>
      <c r="F310">
        <f>MONTH(agg_orders_daily_revenue[[#This Row],[Order_Date]])</f>
        <v>11</v>
      </c>
      <c r="G310" t="str">
        <f>TEXT(agg_orders_daily_revenue[[#This Row],[Order_Date]],"yyyy-mm")</f>
        <v>2024-11</v>
      </c>
      <c r="H310">
        <f>WEEKDAY(agg_orders_daily_revenue[[#This Row],[Order_Date]],2)</f>
        <v>1</v>
      </c>
      <c r="I310" t="str">
        <f>IF(OR(agg_orders_daily_revenue[[#This Row],[Weekday_Num]]=6, agg_orders_daily_revenue[[#This Row],[Weekday_Num]]=7), "Weekend", "Weekday")</f>
        <v>Weekday</v>
      </c>
      <c r="J310" t="str">
        <f>TEXT(agg_orders_daily_revenue[[#This Row],[Order_Date]], "ddd")</f>
        <v>Mon</v>
      </c>
    </row>
    <row r="311" spans="1:10" x14ac:dyDescent="0.4">
      <c r="A311" s="1">
        <v>45601</v>
      </c>
      <c r="B311">
        <v>498149</v>
      </c>
      <c r="C311">
        <v>507119.86</v>
      </c>
      <c r="D311">
        <v>420</v>
      </c>
      <c r="E311">
        <f>YEAR(agg_orders_daily_revenue[[#This Row],[Order_Date]])</f>
        <v>2024</v>
      </c>
      <c r="F311">
        <f>MONTH(agg_orders_daily_revenue[[#This Row],[Order_Date]])</f>
        <v>11</v>
      </c>
      <c r="G311" t="str">
        <f>TEXT(agg_orders_daily_revenue[[#This Row],[Order_Date]],"yyyy-mm")</f>
        <v>2024-11</v>
      </c>
      <c r="H311">
        <f>WEEKDAY(agg_orders_daily_revenue[[#This Row],[Order_Date]],2)</f>
        <v>2</v>
      </c>
      <c r="I311" t="str">
        <f>IF(OR(agg_orders_daily_revenue[[#This Row],[Weekday_Num]]=6, agg_orders_daily_revenue[[#This Row],[Weekday_Num]]=7), "Weekend", "Weekday")</f>
        <v>Weekday</v>
      </c>
      <c r="J311" t="str">
        <f>TEXT(agg_orders_daily_revenue[[#This Row],[Order_Date]], "ddd")</f>
        <v>Tue</v>
      </c>
    </row>
    <row r="312" spans="1:10" x14ac:dyDescent="0.4">
      <c r="A312" s="1">
        <v>45602</v>
      </c>
      <c r="B312">
        <v>504960</v>
      </c>
      <c r="C312">
        <v>506447.43</v>
      </c>
      <c r="D312">
        <v>411</v>
      </c>
      <c r="E312">
        <f>YEAR(agg_orders_daily_revenue[[#This Row],[Order_Date]])</f>
        <v>2024</v>
      </c>
      <c r="F312">
        <f>MONTH(agg_orders_daily_revenue[[#This Row],[Order_Date]])</f>
        <v>11</v>
      </c>
      <c r="G312" t="str">
        <f>TEXT(agg_orders_daily_revenue[[#This Row],[Order_Date]],"yyyy-mm")</f>
        <v>2024-11</v>
      </c>
      <c r="H312">
        <f>WEEKDAY(agg_orders_daily_revenue[[#This Row],[Order_Date]],2)</f>
        <v>3</v>
      </c>
      <c r="I312" t="str">
        <f>IF(OR(agg_orders_daily_revenue[[#This Row],[Weekday_Num]]=6, agg_orders_daily_revenue[[#This Row],[Weekday_Num]]=7), "Weekend", "Weekday")</f>
        <v>Weekday</v>
      </c>
      <c r="J312" t="str">
        <f>TEXT(agg_orders_daily_revenue[[#This Row],[Order_Date]], "ddd")</f>
        <v>Wed</v>
      </c>
    </row>
    <row r="313" spans="1:10" x14ac:dyDescent="0.4">
      <c r="A313" s="1">
        <v>45603</v>
      </c>
      <c r="B313">
        <v>539644</v>
      </c>
      <c r="C313">
        <v>507271.29</v>
      </c>
      <c r="D313">
        <v>409</v>
      </c>
      <c r="E313">
        <f>YEAR(agg_orders_daily_revenue[[#This Row],[Order_Date]])</f>
        <v>2024</v>
      </c>
      <c r="F313">
        <f>MONTH(agg_orders_daily_revenue[[#This Row],[Order_Date]])</f>
        <v>11</v>
      </c>
      <c r="G313" t="str">
        <f>TEXT(agg_orders_daily_revenue[[#This Row],[Order_Date]],"yyyy-mm")</f>
        <v>2024-11</v>
      </c>
      <c r="H313">
        <f>WEEKDAY(agg_orders_daily_revenue[[#This Row],[Order_Date]],2)</f>
        <v>4</v>
      </c>
      <c r="I313" t="str">
        <f>IF(OR(agg_orders_daily_revenue[[#This Row],[Weekday_Num]]=6, agg_orders_daily_revenue[[#This Row],[Weekday_Num]]=7), "Weekend", "Weekday")</f>
        <v>Weekday</v>
      </c>
      <c r="J313" t="str">
        <f>TEXT(agg_orders_daily_revenue[[#This Row],[Order_Date]], "ddd")</f>
        <v>Thu</v>
      </c>
    </row>
    <row r="314" spans="1:10" x14ac:dyDescent="0.4">
      <c r="A314" s="1">
        <v>45604</v>
      </c>
      <c r="B314">
        <v>494675</v>
      </c>
      <c r="C314">
        <v>504771.43</v>
      </c>
      <c r="D314">
        <v>415</v>
      </c>
      <c r="E314">
        <f>YEAR(agg_orders_daily_revenue[[#This Row],[Order_Date]])</f>
        <v>2024</v>
      </c>
      <c r="F314">
        <f>MONTH(agg_orders_daily_revenue[[#This Row],[Order_Date]])</f>
        <v>11</v>
      </c>
      <c r="G314" t="str">
        <f>TEXT(agg_orders_daily_revenue[[#This Row],[Order_Date]],"yyyy-mm")</f>
        <v>2024-11</v>
      </c>
      <c r="H314">
        <f>WEEKDAY(agg_orders_daily_revenue[[#This Row],[Order_Date]],2)</f>
        <v>5</v>
      </c>
      <c r="I314" t="str">
        <f>IF(OR(agg_orders_daily_revenue[[#This Row],[Weekday_Num]]=6, agg_orders_daily_revenue[[#This Row],[Weekday_Num]]=7), "Weekend", "Weekday")</f>
        <v>Weekday</v>
      </c>
      <c r="J314" t="str">
        <f>TEXT(agg_orders_daily_revenue[[#This Row],[Order_Date]], "ddd")</f>
        <v>Fri</v>
      </c>
    </row>
    <row r="315" spans="1:10" x14ac:dyDescent="0.4">
      <c r="A315" s="1">
        <v>45605</v>
      </c>
      <c r="B315">
        <v>507230</v>
      </c>
      <c r="C315">
        <v>508876.71</v>
      </c>
      <c r="D315">
        <v>400</v>
      </c>
      <c r="E315">
        <f>YEAR(agg_orders_daily_revenue[[#This Row],[Order_Date]])</f>
        <v>2024</v>
      </c>
      <c r="F315">
        <f>MONTH(agg_orders_daily_revenue[[#This Row],[Order_Date]])</f>
        <v>11</v>
      </c>
      <c r="G315" t="str">
        <f>TEXT(agg_orders_daily_revenue[[#This Row],[Order_Date]],"yyyy-mm")</f>
        <v>2024-11</v>
      </c>
      <c r="H315">
        <f>WEEKDAY(agg_orders_daily_revenue[[#This Row],[Order_Date]],2)</f>
        <v>6</v>
      </c>
      <c r="I315" t="str">
        <f>IF(OR(agg_orders_daily_revenue[[#This Row],[Weekday_Num]]=6, agg_orders_daily_revenue[[#This Row],[Weekday_Num]]=7), "Weekend", "Weekday")</f>
        <v>Weekend</v>
      </c>
      <c r="J315" t="str">
        <f>TEXT(agg_orders_daily_revenue[[#This Row],[Order_Date]], "ddd")</f>
        <v>Sat</v>
      </c>
    </row>
    <row r="316" spans="1:10" x14ac:dyDescent="0.4">
      <c r="A316" s="1">
        <v>45606</v>
      </c>
      <c r="B316">
        <v>471166</v>
      </c>
      <c r="C316">
        <v>505438.43</v>
      </c>
      <c r="D316">
        <v>372</v>
      </c>
      <c r="E316">
        <f>YEAR(agg_orders_daily_revenue[[#This Row],[Order_Date]])</f>
        <v>2024</v>
      </c>
      <c r="F316">
        <f>MONTH(agg_orders_daily_revenue[[#This Row],[Order_Date]])</f>
        <v>11</v>
      </c>
      <c r="G316" t="str">
        <f>TEXT(agg_orders_daily_revenue[[#This Row],[Order_Date]],"yyyy-mm")</f>
        <v>2024-11</v>
      </c>
      <c r="H316">
        <f>WEEKDAY(agg_orders_daily_revenue[[#This Row],[Order_Date]],2)</f>
        <v>7</v>
      </c>
      <c r="I316" t="str">
        <f>IF(OR(agg_orders_daily_revenue[[#This Row],[Weekday_Num]]=6, agg_orders_daily_revenue[[#This Row],[Weekday_Num]]=7), "Weekend", "Weekday")</f>
        <v>Weekend</v>
      </c>
      <c r="J316" t="str">
        <f>TEXT(agg_orders_daily_revenue[[#This Row],[Order_Date]], "ddd")</f>
        <v>Sun</v>
      </c>
    </row>
    <row r="317" spans="1:10" x14ac:dyDescent="0.4">
      <c r="A317" s="1">
        <v>45607</v>
      </c>
      <c r="B317">
        <v>507473</v>
      </c>
      <c r="C317">
        <v>503328.14</v>
      </c>
      <c r="D317">
        <v>415</v>
      </c>
      <c r="E317">
        <f>YEAR(agg_orders_daily_revenue[[#This Row],[Order_Date]])</f>
        <v>2024</v>
      </c>
      <c r="F317">
        <f>MONTH(agg_orders_daily_revenue[[#This Row],[Order_Date]])</f>
        <v>11</v>
      </c>
      <c r="G317" t="str">
        <f>TEXT(agg_orders_daily_revenue[[#This Row],[Order_Date]],"yyyy-mm")</f>
        <v>2024-11</v>
      </c>
      <c r="H317">
        <f>WEEKDAY(agg_orders_daily_revenue[[#This Row],[Order_Date]],2)</f>
        <v>1</v>
      </c>
      <c r="I317" t="str">
        <f>IF(OR(agg_orders_daily_revenue[[#This Row],[Weekday_Num]]=6, agg_orders_daily_revenue[[#This Row],[Weekday_Num]]=7), "Weekend", "Weekday")</f>
        <v>Weekday</v>
      </c>
      <c r="J317" t="str">
        <f>TEXT(agg_orders_daily_revenue[[#This Row],[Order_Date]], "ddd")</f>
        <v>Mon</v>
      </c>
    </row>
    <row r="318" spans="1:10" x14ac:dyDescent="0.4">
      <c r="A318" s="1">
        <v>45608</v>
      </c>
      <c r="B318">
        <v>529370</v>
      </c>
      <c r="C318">
        <v>507788.29</v>
      </c>
      <c r="D318">
        <v>415</v>
      </c>
      <c r="E318">
        <f>YEAR(agg_orders_daily_revenue[[#This Row],[Order_Date]])</f>
        <v>2024</v>
      </c>
      <c r="F318">
        <f>MONTH(agg_orders_daily_revenue[[#This Row],[Order_Date]])</f>
        <v>11</v>
      </c>
      <c r="G318" t="str">
        <f>TEXT(agg_orders_daily_revenue[[#This Row],[Order_Date]],"yyyy-mm")</f>
        <v>2024-11</v>
      </c>
      <c r="H318">
        <f>WEEKDAY(agg_orders_daily_revenue[[#This Row],[Order_Date]],2)</f>
        <v>2</v>
      </c>
      <c r="I318" t="str">
        <f>IF(OR(agg_orders_daily_revenue[[#This Row],[Weekday_Num]]=6, agg_orders_daily_revenue[[#This Row],[Weekday_Num]]=7), "Weekend", "Weekday")</f>
        <v>Weekday</v>
      </c>
      <c r="J318" t="str">
        <f>TEXT(agg_orders_daily_revenue[[#This Row],[Order_Date]], "ddd")</f>
        <v>Tue</v>
      </c>
    </row>
    <row r="319" spans="1:10" x14ac:dyDescent="0.4">
      <c r="A319" s="1">
        <v>45609</v>
      </c>
      <c r="B319">
        <v>565723</v>
      </c>
      <c r="C319">
        <v>516468.71</v>
      </c>
      <c r="D319">
        <v>438</v>
      </c>
      <c r="E319">
        <f>YEAR(agg_orders_daily_revenue[[#This Row],[Order_Date]])</f>
        <v>2024</v>
      </c>
      <c r="F319">
        <f>MONTH(agg_orders_daily_revenue[[#This Row],[Order_Date]])</f>
        <v>11</v>
      </c>
      <c r="G319" t="str">
        <f>TEXT(agg_orders_daily_revenue[[#This Row],[Order_Date]],"yyyy-mm")</f>
        <v>2024-11</v>
      </c>
      <c r="H319">
        <f>WEEKDAY(agg_orders_daily_revenue[[#This Row],[Order_Date]],2)</f>
        <v>3</v>
      </c>
      <c r="I319" t="str">
        <f>IF(OR(agg_orders_daily_revenue[[#This Row],[Weekday_Num]]=6, agg_orders_daily_revenue[[#This Row],[Weekday_Num]]=7), "Weekend", "Weekday")</f>
        <v>Weekday</v>
      </c>
      <c r="J319" t="str">
        <f>TEXT(agg_orders_daily_revenue[[#This Row],[Order_Date]], "ddd")</f>
        <v>Wed</v>
      </c>
    </row>
    <row r="320" spans="1:10" x14ac:dyDescent="0.4">
      <c r="A320" s="1">
        <v>45610</v>
      </c>
      <c r="B320">
        <v>518943</v>
      </c>
      <c r="C320">
        <v>513511.43</v>
      </c>
      <c r="D320">
        <v>407</v>
      </c>
      <c r="E320">
        <f>YEAR(agg_orders_daily_revenue[[#This Row],[Order_Date]])</f>
        <v>2024</v>
      </c>
      <c r="F320">
        <f>MONTH(agg_orders_daily_revenue[[#This Row],[Order_Date]])</f>
        <v>11</v>
      </c>
      <c r="G320" t="str">
        <f>TEXT(agg_orders_daily_revenue[[#This Row],[Order_Date]],"yyyy-mm")</f>
        <v>2024-11</v>
      </c>
      <c r="H320">
        <f>WEEKDAY(agg_orders_daily_revenue[[#This Row],[Order_Date]],2)</f>
        <v>4</v>
      </c>
      <c r="I320" t="str">
        <f>IF(OR(agg_orders_daily_revenue[[#This Row],[Weekday_Num]]=6, agg_orders_daily_revenue[[#This Row],[Weekday_Num]]=7), "Weekend", "Weekday")</f>
        <v>Weekday</v>
      </c>
      <c r="J320" t="str">
        <f>TEXT(agg_orders_daily_revenue[[#This Row],[Order_Date]], "ddd")</f>
        <v>Thu</v>
      </c>
    </row>
    <row r="321" spans="1:10" x14ac:dyDescent="0.4">
      <c r="A321" s="1">
        <v>45611</v>
      </c>
      <c r="B321">
        <v>466906</v>
      </c>
      <c r="C321">
        <v>509544.43</v>
      </c>
      <c r="D321">
        <v>371</v>
      </c>
      <c r="E321">
        <f>YEAR(agg_orders_daily_revenue[[#This Row],[Order_Date]])</f>
        <v>2024</v>
      </c>
      <c r="F321">
        <f>MONTH(agg_orders_daily_revenue[[#This Row],[Order_Date]])</f>
        <v>11</v>
      </c>
      <c r="G321" t="str">
        <f>TEXT(agg_orders_daily_revenue[[#This Row],[Order_Date]],"yyyy-mm")</f>
        <v>2024-11</v>
      </c>
      <c r="H321">
        <f>WEEKDAY(agg_orders_daily_revenue[[#This Row],[Order_Date]],2)</f>
        <v>5</v>
      </c>
      <c r="I321" t="str">
        <f>IF(OR(agg_orders_daily_revenue[[#This Row],[Weekday_Num]]=6, agg_orders_daily_revenue[[#This Row],[Weekday_Num]]=7), "Weekend", "Weekday")</f>
        <v>Weekday</v>
      </c>
      <c r="J321" t="str">
        <f>TEXT(agg_orders_daily_revenue[[#This Row],[Order_Date]], "ddd")</f>
        <v>Fri</v>
      </c>
    </row>
    <row r="322" spans="1:10" x14ac:dyDescent="0.4">
      <c r="A322" s="1">
        <v>45612</v>
      </c>
      <c r="B322">
        <v>543266</v>
      </c>
      <c r="C322">
        <v>514692.43</v>
      </c>
      <c r="D322">
        <v>446</v>
      </c>
      <c r="E322">
        <f>YEAR(agg_orders_daily_revenue[[#This Row],[Order_Date]])</f>
        <v>2024</v>
      </c>
      <c r="F322">
        <f>MONTH(agg_orders_daily_revenue[[#This Row],[Order_Date]])</f>
        <v>11</v>
      </c>
      <c r="G322" t="str">
        <f>TEXT(agg_orders_daily_revenue[[#This Row],[Order_Date]],"yyyy-mm")</f>
        <v>2024-11</v>
      </c>
      <c r="H322">
        <f>WEEKDAY(agg_orders_daily_revenue[[#This Row],[Order_Date]],2)</f>
        <v>6</v>
      </c>
      <c r="I322" t="str">
        <f>IF(OR(agg_orders_daily_revenue[[#This Row],[Weekday_Num]]=6, agg_orders_daily_revenue[[#This Row],[Weekday_Num]]=7), "Weekend", "Weekday")</f>
        <v>Weekend</v>
      </c>
      <c r="J322" t="str">
        <f>TEXT(agg_orders_daily_revenue[[#This Row],[Order_Date]], "ddd")</f>
        <v>Sat</v>
      </c>
    </row>
    <row r="323" spans="1:10" x14ac:dyDescent="0.4">
      <c r="A323" s="1">
        <v>45613</v>
      </c>
      <c r="B323">
        <v>511014</v>
      </c>
      <c r="C323">
        <v>520385</v>
      </c>
      <c r="D323">
        <v>405</v>
      </c>
      <c r="E323">
        <f>YEAR(agg_orders_daily_revenue[[#This Row],[Order_Date]])</f>
        <v>2024</v>
      </c>
      <c r="F323">
        <f>MONTH(agg_orders_daily_revenue[[#This Row],[Order_Date]])</f>
        <v>11</v>
      </c>
      <c r="G323" t="str">
        <f>TEXT(agg_orders_daily_revenue[[#This Row],[Order_Date]],"yyyy-mm")</f>
        <v>2024-11</v>
      </c>
      <c r="H323">
        <f>WEEKDAY(agg_orders_daily_revenue[[#This Row],[Order_Date]],2)</f>
        <v>7</v>
      </c>
      <c r="I323" t="str">
        <f>IF(OR(agg_orders_daily_revenue[[#This Row],[Weekday_Num]]=6, agg_orders_daily_revenue[[#This Row],[Weekday_Num]]=7), "Weekend", "Weekday")</f>
        <v>Weekend</v>
      </c>
      <c r="J323" t="str">
        <f>TEXT(agg_orders_daily_revenue[[#This Row],[Order_Date]], "ddd")</f>
        <v>Sun</v>
      </c>
    </row>
    <row r="324" spans="1:10" x14ac:dyDescent="0.4">
      <c r="A324" s="1">
        <v>45614</v>
      </c>
      <c r="B324">
        <v>499597</v>
      </c>
      <c r="C324">
        <v>519259.86</v>
      </c>
      <c r="D324">
        <v>409</v>
      </c>
      <c r="E324">
        <f>YEAR(agg_orders_daily_revenue[[#This Row],[Order_Date]])</f>
        <v>2024</v>
      </c>
      <c r="F324">
        <f>MONTH(agg_orders_daily_revenue[[#This Row],[Order_Date]])</f>
        <v>11</v>
      </c>
      <c r="G324" t="str">
        <f>TEXT(agg_orders_daily_revenue[[#This Row],[Order_Date]],"yyyy-mm")</f>
        <v>2024-11</v>
      </c>
      <c r="H324">
        <f>WEEKDAY(agg_orders_daily_revenue[[#This Row],[Order_Date]],2)</f>
        <v>1</v>
      </c>
      <c r="I324" t="str">
        <f>IF(OR(agg_orders_daily_revenue[[#This Row],[Weekday_Num]]=6, agg_orders_daily_revenue[[#This Row],[Weekday_Num]]=7), "Weekend", "Weekday")</f>
        <v>Weekday</v>
      </c>
      <c r="J324" t="str">
        <f>TEXT(agg_orders_daily_revenue[[#This Row],[Order_Date]], "ddd")</f>
        <v>Mon</v>
      </c>
    </row>
    <row r="325" spans="1:10" x14ac:dyDescent="0.4">
      <c r="A325" s="1">
        <v>45615</v>
      </c>
      <c r="B325">
        <v>516867</v>
      </c>
      <c r="C325">
        <v>517473.71</v>
      </c>
      <c r="D325">
        <v>403</v>
      </c>
      <c r="E325">
        <f>YEAR(agg_orders_daily_revenue[[#This Row],[Order_Date]])</f>
        <v>2024</v>
      </c>
      <c r="F325">
        <f>MONTH(agg_orders_daily_revenue[[#This Row],[Order_Date]])</f>
        <v>11</v>
      </c>
      <c r="G325" t="str">
        <f>TEXT(agg_orders_daily_revenue[[#This Row],[Order_Date]],"yyyy-mm")</f>
        <v>2024-11</v>
      </c>
      <c r="H325">
        <f>WEEKDAY(agg_orders_daily_revenue[[#This Row],[Order_Date]],2)</f>
        <v>2</v>
      </c>
      <c r="I325" t="str">
        <f>IF(OR(agg_orders_daily_revenue[[#This Row],[Weekday_Num]]=6, agg_orders_daily_revenue[[#This Row],[Weekday_Num]]=7), "Weekend", "Weekday")</f>
        <v>Weekday</v>
      </c>
      <c r="J325" t="str">
        <f>TEXT(agg_orders_daily_revenue[[#This Row],[Order_Date]], "ddd")</f>
        <v>Tue</v>
      </c>
    </row>
    <row r="326" spans="1:10" x14ac:dyDescent="0.4">
      <c r="A326" s="1">
        <v>45616</v>
      </c>
      <c r="B326">
        <v>536756</v>
      </c>
      <c r="C326">
        <v>513335.57</v>
      </c>
      <c r="D326">
        <v>433</v>
      </c>
      <c r="E326">
        <f>YEAR(agg_orders_daily_revenue[[#This Row],[Order_Date]])</f>
        <v>2024</v>
      </c>
      <c r="F326">
        <f>MONTH(agg_orders_daily_revenue[[#This Row],[Order_Date]])</f>
        <v>11</v>
      </c>
      <c r="G326" t="str">
        <f>TEXT(agg_orders_daily_revenue[[#This Row],[Order_Date]],"yyyy-mm")</f>
        <v>2024-11</v>
      </c>
      <c r="H326">
        <f>WEEKDAY(agg_orders_daily_revenue[[#This Row],[Order_Date]],2)</f>
        <v>3</v>
      </c>
      <c r="I326" t="str">
        <f>IF(OR(agg_orders_daily_revenue[[#This Row],[Weekday_Num]]=6, agg_orders_daily_revenue[[#This Row],[Weekday_Num]]=7), "Weekend", "Weekday")</f>
        <v>Weekday</v>
      </c>
      <c r="J326" t="str">
        <f>TEXT(agg_orders_daily_revenue[[#This Row],[Order_Date]], "ddd")</f>
        <v>Wed</v>
      </c>
    </row>
    <row r="327" spans="1:10" x14ac:dyDescent="0.4">
      <c r="A327" s="1">
        <v>45617</v>
      </c>
      <c r="B327">
        <v>485419</v>
      </c>
      <c r="C327">
        <v>508546.43</v>
      </c>
      <c r="D327">
        <v>405</v>
      </c>
      <c r="E327">
        <f>YEAR(agg_orders_daily_revenue[[#This Row],[Order_Date]])</f>
        <v>2024</v>
      </c>
      <c r="F327">
        <f>MONTH(agg_orders_daily_revenue[[#This Row],[Order_Date]])</f>
        <v>11</v>
      </c>
      <c r="G327" t="str">
        <f>TEXT(agg_orders_daily_revenue[[#This Row],[Order_Date]],"yyyy-mm")</f>
        <v>2024-11</v>
      </c>
      <c r="H327">
        <f>WEEKDAY(agg_orders_daily_revenue[[#This Row],[Order_Date]],2)</f>
        <v>4</v>
      </c>
      <c r="I327" t="str">
        <f>IF(OR(agg_orders_daily_revenue[[#This Row],[Weekday_Num]]=6, agg_orders_daily_revenue[[#This Row],[Weekday_Num]]=7), "Weekend", "Weekday")</f>
        <v>Weekday</v>
      </c>
      <c r="J327" t="str">
        <f>TEXT(agg_orders_daily_revenue[[#This Row],[Order_Date]], "ddd")</f>
        <v>Thu</v>
      </c>
    </row>
    <row r="328" spans="1:10" x14ac:dyDescent="0.4">
      <c r="A328" s="1">
        <v>45618</v>
      </c>
      <c r="B328">
        <v>501231</v>
      </c>
      <c r="C328">
        <v>513450</v>
      </c>
      <c r="D328">
        <v>403</v>
      </c>
      <c r="E328">
        <f>YEAR(agg_orders_daily_revenue[[#This Row],[Order_Date]])</f>
        <v>2024</v>
      </c>
      <c r="F328">
        <f>MONTH(agg_orders_daily_revenue[[#This Row],[Order_Date]])</f>
        <v>11</v>
      </c>
      <c r="G328" t="str">
        <f>TEXT(agg_orders_daily_revenue[[#This Row],[Order_Date]],"yyyy-mm")</f>
        <v>2024-11</v>
      </c>
      <c r="H328">
        <f>WEEKDAY(agg_orders_daily_revenue[[#This Row],[Order_Date]],2)</f>
        <v>5</v>
      </c>
      <c r="I328" t="str">
        <f>IF(OR(agg_orders_daily_revenue[[#This Row],[Weekday_Num]]=6, agg_orders_daily_revenue[[#This Row],[Weekday_Num]]=7), "Weekend", "Weekday")</f>
        <v>Weekday</v>
      </c>
      <c r="J328" t="str">
        <f>TEXT(agg_orders_daily_revenue[[#This Row],[Order_Date]], "ddd")</f>
        <v>Fri</v>
      </c>
    </row>
    <row r="329" spans="1:10" x14ac:dyDescent="0.4">
      <c r="A329" s="1">
        <v>45619</v>
      </c>
      <c r="B329">
        <v>537759</v>
      </c>
      <c r="C329">
        <v>512663.29</v>
      </c>
      <c r="D329">
        <v>429</v>
      </c>
      <c r="E329">
        <f>YEAR(agg_orders_daily_revenue[[#This Row],[Order_Date]])</f>
        <v>2024</v>
      </c>
      <c r="F329">
        <f>MONTH(agg_orders_daily_revenue[[#This Row],[Order_Date]])</f>
        <v>11</v>
      </c>
      <c r="G329" t="str">
        <f>TEXT(agg_orders_daily_revenue[[#This Row],[Order_Date]],"yyyy-mm")</f>
        <v>2024-11</v>
      </c>
      <c r="H329">
        <f>WEEKDAY(agg_orders_daily_revenue[[#This Row],[Order_Date]],2)</f>
        <v>6</v>
      </c>
      <c r="I329" t="str">
        <f>IF(OR(agg_orders_daily_revenue[[#This Row],[Weekday_Num]]=6, agg_orders_daily_revenue[[#This Row],[Weekday_Num]]=7), "Weekend", "Weekday")</f>
        <v>Weekend</v>
      </c>
      <c r="J329" t="str">
        <f>TEXT(agg_orders_daily_revenue[[#This Row],[Order_Date]], "ddd")</f>
        <v>Sat</v>
      </c>
    </row>
    <row r="330" spans="1:10" x14ac:dyDescent="0.4">
      <c r="A330" s="1">
        <v>45620</v>
      </c>
      <c r="B330">
        <v>495121</v>
      </c>
      <c r="C330">
        <v>510392.86</v>
      </c>
      <c r="D330">
        <v>390</v>
      </c>
      <c r="E330">
        <f>YEAR(agg_orders_daily_revenue[[#This Row],[Order_Date]])</f>
        <v>2024</v>
      </c>
      <c r="F330">
        <f>MONTH(agg_orders_daily_revenue[[#This Row],[Order_Date]])</f>
        <v>11</v>
      </c>
      <c r="G330" t="str">
        <f>TEXT(agg_orders_daily_revenue[[#This Row],[Order_Date]],"yyyy-mm")</f>
        <v>2024-11</v>
      </c>
      <c r="H330">
        <f>WEEKDAY(agg_orders_daily_revenue[[#This Row],[Order_Date]],2)</f>
        <v>7</v>
      </c>
      <c r="I330" t="str">
        <f>IF(OR(agg_orders_daily_revenue[[#This Row],[Weekday_Num]]=6, agg_orders_daily_revenue[[#This Row],[Weekday_Num]]=7), "Weekend", "Weekday")</f>
        <v>Weekend</v>
      </c>
      <c r="J330" t="str">
        <f>TEXT(agg_orders_daily_revenue[[#This Row],[Order_Date]], "ddd")</f>
        <v>Sun</v>
      </c>
    </row>
    <row r="331" spans="1:10" x14ac:dyDescent="0.4">
      <c r="A331" s="1">
        <v>45621</v>
      </c>
      <c r="B331">
        <v>485742</v>
      </c>
      <c r="C331">
        <v>508413.57</v>
      </c>
      <c r="D331">
        <v>398</v>
      </c>
      <c r="E331">
        <f>YEAR(agg_orders_daily_revenue[[#This Row],[Order_Date]])</f>
        <v>2024</v>
      </c>
      <c r="F331">
        <f>MONTH(agg_orders_daily_revenue[[#This Row],[Order_Date]])</f>
        <v>11</v>
      </c>
      <c r="G331" t="str">
        <f>TEXT(agg_orders_daily_revenue[[#This Row],[Order_Date]],"yyyy-mm")</f>
        <v>2024-11</v>
      </c>
      <c r="H331">
        <f>WEEKDAY(agg_orders_daily_revenue[[#This Row],[Order_Date]],2)</f>
        <v>1</v>
      </c>
      <c r="I331" t="str">
        <f>IF(OR(agg_orders_daily_revenue[[#This Row],[Weekday_Num]]=6, agg_orders_daily_revenue[[#This Row],[Weekday_Num]]=7), "Weekend", "Weekday")</f>
        <v>Weekday</v>
      </c>
      <c r="J331" t="str">
        <f>TEXT(agg_orders_daily_revenue[[#This Row],[Order_Date]], "ddd")</f>
        <v>Mon</v>
      </c>
    </row>
    <row r="332" spans="1:10" x14ac:dyDescent="0.4">
      <c r="A332" s="1">
        <v>45622</v>
      </c>
      <c r="B332">
        <v>511882</v>
      </c>
      <c r="C332">
        <v>507701.43</v>
      </c>
      <c r="D332">
        <v>399</v>
      </c>
      <c r="E332">
        <f>YEAR(agg_orders_daily_revenue[[#This Row],[Order_Date]])</f>
        <v>2024</v>
      </c>
      <c r="F332">
        <f>MONTH(agg_orders_daily_revenue[[#This Row],[Order_Date]])</f>
        <v>11</v>
      </c>
      <c r="G332" t="str">
        <f>TEXT(agg_orders_daily_revenue[[#This Row],[Order_Date]],"yyyy-mm")</f>
        <v>2024-11</v>
      </c>
      <c r="H332">
        <f>WEEKDAY(agg_orders_daily_revenue[[#This Row],[Order_Date]],2)</f>
        <v>2</v>
      </c>
      <c r="I332" t="str">
        <f>IF(OR(agg_orders_daily_revenue[[#This Row],[Weekday_Num]]=6, agg_orders_daily_revenue[[#This Row],[Weekday_Num]]=7), "Weekend", "Weekday")</f>
        <v>Weekday</v>
      </c>
      <c r="J332" t="str">
        <f>TEXT(agg_orders_daily_revenue[[#This Row],[Order_Date]], "ddd")</f>
        <v>Tue</v>
      </c>
    </row>
    <row r="333" spans="1:10" x14ac:dyDescent="0.4">
      <c r="A333" s="1">
        <v>45623</v>
      </c>
      <c r="B333">
        <v>518550</v>
      </c>
      <c r="C333">
        <v>505100.57</v>
      </c>
      <c r="D333">
        <v>423</v>
      </c>
      <c r="E333">
        <f>YEAR(agg_orders_daily_revenue[[#This Row],[Order_Date]])</f>
        <v>2024</v>
      </c>
      <c r="F333">
        <f>MONTH(agg_orders_daily_revenue[[#This Row],[Order_Date]])</f>
        <v>11</v>
      </c>
      <c r="G333" t="str">
        <f>TEXT(agg_orders_daily_revenue[[#This Row],[Order_Date]],"yyyy-mm")</f>
        <v>2024-11</v>
      </c>
      <c r="H333">
        <f>WEEKDAY(agg_orders_daily_revenue[[#This Row],[Order_Date]],2)</f>
        <v>3</v>
      </c>
      <c r="I333" t="str">
        <f>IF(OR(agg_orders_daily_revenue[[#This Row],[Weekday_Num]]=6, agg_orders_daily_revenue[[#This Row],[Weekday_Num]]=7), "Weekend", "Weekday")</f>
        <v>Weekday</v>
      </c>
      <c r="J333" t="str">
        <f>TEXT(agg_orders_daily_revenue[[#This Row],[Order_Date]], "ddd")</f>
        <v>Wed</v>
      </c>
    </row>
    <row r="334" spans="1:10" x14ac:dyDescent="0.4">
      <c r="A334" s="1">
        <v>45624</v>
      </c>
      <c r="B334">
        <v>549661</v>
      </c>
      <c r="C334">
        <v>514278</v>
      </c>
      <c r="D334">
        <v>442</v>
      </c>
      <c r="E334">
        <f>YEAR(agg_orders_daily_revenue[[#This Row],[Order_Date]])</f>
        <v>2024</v>
      </c>
      <c r="F334">
        <f>MONTH(agg_orders_daily_revenue[[#This Row],[Order_Date]])</f>
        <v>11</v>
      </c>
      <c r="G334" t="str">
        <f>TEXT(agg_orders_daily_revenue[[#This Row],[Order_Date]],"yyyy-mm")</f>
        <v>2024-11</v>
      </c>
      <c r="H334">
        <f>WEEKDAY(agg_orders_daily_revenue[[#This Row],[Order_Date]],2)</f>
        <v>4</v>
      </c>
      <c r="I334" t="str">
        <f>IF(OR(agg_orders_daily_revenue[[#This Row],[Weekday_Num]]=6, agg_orders_daily_revenue[[#This Row],[Weekday_Num]]=7), "Weekend", "Weekday")</f>
        <v>Weekday</v>
      </c>
      <c r="J334" t="str">
        <f>TEXT(agg_orders_daily_revenue[[#This Row],[Order_Date]], "ddd")</f>
        <v>Thu</v>
      </c>
    </row>
    <row r="335" spans="1:10" x14ac:dyDescent="0.4">
      <c r="A335" s="1">
        <v>45625</v>
      </c>
      <c r="B335">
        <v>495152</v>
      </c>
      <c r="C335">
        <v>513409.57</v>
      </c>
      <c r="D335">
        <v>402</v>
      </c>
      <c r="E335">
        <f>YEAR(agg_orders_daily_revenue[[#This Row],[Order_Date]])</f>
        <v>2024</v>
      </c>
      <c r="F335">
        <f>MONTH(agg_orders_daily_revenue[[#This Row],[Order_Date]])</f>
        <v>11</v>
      </c>
      <c r="G335" t="str">
        <f>TEXT(agg_orders_daily_revenue[[#This Row],[Order_Date]],"yyyy-mm")</f>
        <v>2024-11</v>
      </c>
      <c r="H335">
        <f>WEEKDAY(agg_orders_daily_revenue[[#This Row],[Order_Date]],2)</f>
        <v>5</v>
      </c>
      <c r="I335" t="str">
        <f>IF(OR(agg_orders_daily_revenue[[#This Row],[Weekday_Num]]=6, agg_orders_daily_revenue[[#This Row],[Weekday_Num]]=7), "Weekend", "Weekday")</f>
        <v>Weekday</v>
      </c>
      <c r="J335" t="str">
        <f>TEXT(agg_orders_daily_revenue[[#This Row],[Order_Date]], "ddd")</f>
        <v>Fri</v>
      </c>
    </row>
    <row r="336" spans="1:10" x14ac:dyDescent="0.4">
      <c r="A336" s="1">
        <v>45626</v>
      </c>
      <c r="B336">
        <v>484267</v>
      </c>
      <c r="C336">
        <v>505767.86</v>
      </c>
      <c r="D336">
        <v>408</v>
      </c>
      <c r="E336">
        <f>YEAR(agg_orders_daily_revenue[[#This Row],[Order_Date]])</f>
        <v>2024</v>
      </c>
      <c r="F336">
        <f>MONTH(agg_orders_daily_revenue[[#This Row],[Order_Date]])</f>
        <v>11</v>
      </c>
      <c r="G336" t="str">
        <f>TEXT(agg_orders_daily_revenue[[#This Row],[Order_Date]],"yyyy-mm")</f>
        <v>2024-11</v>
      </c>
      <c r="H336">
        <f>WEEKDAY(agg_orders_daily_revenue[[#This Row],[Order_Date]],2)</f>
        <v>6</v>
      </c>
      <c r="I336" t="str">
        <f>IF(OR(agg_orders_daily_revenue[[#This Row],[Weekday_Num]]=6, agg_orders_daily_revenue[[#This Row],[Weekday_Num]]=7), "Weekend", "Weekday")</f>
        <v>Weekend</v>
      </c>
      <c r="J336" t="str">
        <f>TEXT(agg_orders_daily_revenue[[#This Row],[Order_Date]], "ddd")</f>
        <v>Sat</v>
      </c>
    </row>
    <row r="337" spans="1:10" x14ac:dyDescent="0.4">
      <c r="A337" s="1">
        <v>45627</v>
      </c>
      <c r="B337">
        <v>477312</v>
      </c>
      <c r="C337">
        <v>503223.71</v>
      </c>
      <c r="D337">
        <v>393</v>
      </c>
      <c r="E337">
        <f>YEAR(agg_orders_daily_revenue[[#This Row],[Order_Date]])</f>
        <v>2024</v>
      </c>
      <c r="F337">
        <f>MONTH(agg_orders_daily_revenue[[#This Row],[Order_Date]])</f>
        <v>12</v>
      </c>
      <c r="G337" t="str">
        <f>TEXT(agg_orders_daily_revenue[[#This Row],[Order_Date]],"yyyy-mm")</f>
        <v>2024-12</v>
      </c>
      <c r="H337">
        <f>WEEKDAY(agg_orders_daily_revenue[[#This Row],[Order_Date]],2)</f>
        <v>7</v>
      </c>
      <c r="I337" t="str">
        <f>IF(OR(agg_orders_daily_revenue[[#This Row],[Weekday_Num]]=6, agg_orders_daily_revenue[[#This Row],[Weekday_Num]]=7), "Weekend", "Weekday")</f>
        <v>Weekend</v>
      </c>
      <c r="J337" t="str">
        <f>TEXT(agg_orders_daily_revenue[[#This Row],[Order_Date]], "ddd")</f>
        <v>Sun</v>
      </c>
    </row>
    <row r="338" spans="1:10" x14ac:dyDescent="0.4">
      <c r="A338" s="1">
        <v>45628</v>
      </c>
      <c r="B338">
        <v>495338</v>
      </c>
      <c r="C338">
        <v>504594.57</v>
      </c>
      <c r="D338">
        <v>411</v>
      </c>
      <c r="E338">
        <f>YEAR(agg_orders_daily_revenue[[#This Row],[Order_Date]])</f>
        <v>2024</v>
      </c>
      <c r="F338">
        <f>MONTH(agg_orders_daily_revenue[[#This Row],[Order_Date]])</f>
        <v>12</v>
      </c>
      <c r="G338" t="str">
        <f>TEXT(agg_orders_daily_revenue[[#This Row],[Order_Date]],"yyyy-mm")</f>
        <v>2024-12</v>
      </c>
      <c r="H338">
        <f>WEEKDAY(agg_orders_daily_revenue[[#This Row],[Order_Date]],2)</f>
        <v>1</v>
      </c>
      <c r="I338" t="str">
        <f>IF(OR(agg_orders_daily_revenue[[#This Row],[Weekday_Num]]=6, agg_orders_daily_revenue[[#This Row],[Weekday_Num]]=7), "Weekend", "Weekday")</f>
        <v>Weekday</v>
      </c>
      <c r="J338" t="str">
        <f>TEXT(agg_orders_daily_revenue[[#This Row],[Order_Date]], "ddd")</f>
        <v>Mon</v>
      </c>
    </row>
    <row r="339" spans="1:10" x14ac:dyDescent="0.4">
      <c r="A339" s="1">
        <v>45629</v>
      </c>
      <c r="B339">
        <v>465560</v>
      </c>
      <c r="C339">
        <v>497977.14</v>
      </c>
      <c r="D339">
        <v>394</v>
      </c>
      <c r="E339">
        <f>YEAR(agg_orders_daily_revenue[[#This Row],[Order_Date]])</f>
        <v>2024</v>
      </c>
      <c r="F339">
        <f>MONTH(agg_orders_daily_revenue[[#This Row],[Order_Date]])</f>
        <v>12</v>
      </c>
      <c r="G339" t="str">
        <f>TEXT(agg_orders_daily_revenue[[#This Row],[Order_Date]],"yyyy-mm")</f>
        <v>2024-12</v>
      </c>
      <c r="H339">
        <f>WEEKDAY(agg_orders_daily_revenue[[#This Row],[Order_Date]],2)</f>
        <v>2</v>
      </c>
      <c r="I339" t="str">
        <f>IF(OR(agg_orders_daily_revenue[[#This Row],[Weekday_Num]]=6, agg_orders_daily_revenue[[#This Row],[Weekday_Num]]=7), "Weekend", "Weekday")</f>
        <v>Weekday</v>
      </c>
      <c r="J339" t="str">
        <f>TEXT(agg_orders_daily_revenue[[#This Row],[Order_Date]], "ddd")</f>
        <v>Tue</v>
      </c>
    </row>
    <row r="340" spans="1:10" x14ac:dyDescent="0.4">
      <c r="A340" s="1">
        <v>45630</v>
      </c>
      <c r="B340">
        <v>510713</v>
      </c>
      <c r="C340">
        <v>496857.57</v>
      </c>
      <c r="D340">
        <v>391</v>
      </c>
      <c r="E340">
        <f>YEAR(agg_orders_daily_revenue[[#This Row],[Order_Date]])</f>
        <v>2024</v>
      </c>
      <c r="F340">
        <f>MONTH(agg_orders_daily_revenue[[#This Row],[Order_Date]])</f>
        <v>12</v>
      </c>
      <c r="G340" t="str">
        <f>TEXT(agg_orders_daily_revenue[[#This Row],[Order_Date]],"yyyy-mm")</f>
        <v>2024-12</v>
      </c>
      <c r="H340">
        <f>WEEKDAY(agg_orders_daily_revenue[[#This Row],[Order_Date]],2)</f>
        <v>3</v>
      </c>
      <c r="I340" t="str">
        <f>IF(OR(agg_orders_daily_revenue[[#This Row],[Weekday_Num]]=6, agg_orders_daily_revenue[[#This Row],[Weekday_Num]]=7), "Weekend", "Weekday")</f>
        <v>Weekday</v>
      </c>
      <c r="J340" t="str">
        <f>TEXT(agg_orders_daily_revenue[[#This Row],[Order_Date]], "ddd")</f>
        <v>Wed</v>
      </c>
    </row>
    <row r="341" spans="1:10" x14ac:dyDescent="0.4">
      <c r="A341" s="1">
        <v>45631</v>
      </c>
      <c r="B341">
        <v>543006</v>
      </c>
      <c r="C341">
        <v>495906.86</v>
      </c>
      <c r="D341">
        <v>430</v>
      </c>
      <c r="E341">
        <f>YEAR(agg_orders_daily_revenue[[#This Row],[Order_Date]])</f>
        <v>2024</v>
      </c>
      <c r="F341">
        <f>MONTH(agg_orders_daily_revenue[[#This Row],[Order_Date]])</f>
        <v>12</v>
      </c>
      <c r="G341" t="str">
        <f>TEXT(agg_orders_daily_revenue[[#This Row],[Order_Date]],"yyyy-mm")</f>
        <v>2024-12</v>
      </c>
      <c r="H341">
        <f>WEEKDAY(agg_orders_daily_revenue[[#This Row],[Order_Date]],2)</f>
        <v>4</v>
      </c>
      <c r="I341" t="str">
        <f>IF(OR(agg_orders_daily_revenue[[#This Row],[Weekday_Num]]=6, agg_orders_daily_revenue[[#This Row],[Weekday_Num]]=7), "Weekend", "Weekday")</f>
        <v>Weekday</v>
      </c>
      <c r="J341" t="str">
        <f>TEXT(agg_orders_daily_revenue[[#This Row],[Order_Date]], "ddd")</f>
        <v>Thu</v>
      </c>
    </row>
    <row r="342" spans="1:10" x14ac:dyDescent="0.4">
      <c r="A342" s="1">
        <v>45632</v>
      </c>
      <c r="B342">
        <v>517365</v>
      </c>
      <c r="C342">
        <v>499080.14</v>
      </c>
      <c r="D342">
        <v>417</v>
      </c>
      <c r="E342">
        <f>YEAR(agg_orders_daily_revenue[[#This Row],[Order_Date]])</f>
        <v>2024</v>
      </c>
      <c r="F342">
        <f>MONTH(agg_orders_daily_revenue[[#This Row],[Order_Date]])</f>
        <v>12</v>
      </c>
      <c r="G342" t="str">
        <f>TEXT(agg_orders_daily_revenue[[#This Row],[Order_Date]],"yyyy-mm")</f>
        <v>2024-12</v>
      </c>
      <c r="H342">
        <f>WEEKDAY(agg_orders_daily_revenue[[#This Row],[Order_Date]],2)</f>
        <v>5</v>
      </c>
      <c r="I342" t="str">
        <f>IF(OR(agg_orders_daily_revenue[[#This Row],[Weekday_Num]]=6, agg_orders_daily_revenue[[#This Row],[Weekday_Num]]=7), "Weekend", "Weekday")</f>
        <v>Weekday</v>
      </c>
      <c r="J342" t="str">
        <f>TEXT(agg_orders_daily_revenue[[#This Row],[Order_Date]], "ddd")</f>
        <v>Fri</v>
      </c>
    </row>
    <row r="343" spans="1:10" x14ac:dyDescent="0.4">
      <c r="A343" s="1">
        <v>45633</v>
      </c>
      <c r="B343">
        <v>531674</v>
      </c>
      <c r="C343">
        <v>505852.57</v>
      </c>
      <c r="D343">
        <v>412</v>
      </c>
      <c r="E343">
        <f>YEAR(agg_orders_daily_revenue[[#This Row],[Order_Date]])</f>
        <v>2024</v>
      </c>
      <c r="F343">
        <f>MONTH(agg_orders_daily_revenue[[#This Row],[Order_Date]])</f>
        <v>12</v>
      </c>
      <c r="G343" t="str">
        <f>TEXT(agg_orders_daily_revenue[[#This Row],[Order_Date]],"yyyy-mm")</f>
        <v>2024-12</v>
      </c>
      <c r="H343">
        <f>WEEKDAY(agg_orders_daily_revenue[[#This Row],[Order_Date]],2)</f>
        <v>6</v>
      </c>
      <c r="I343" t="str">
        <f>IF(OR(agg_orders_daily_revenue[[#This Row],[Weekday_Num]]=6, agg_orders_daily_revenue[[#This Row],[Weekday_Num]]=7), "Weekend", "Weekday")</f>
        <v>Weekend</v>
      </c>
      <c r="J343" t="str">
        <f>TEXT(agg_orders_daily_revenue[[#This Row],[Order_Date]], "ddd")</f>
        <v>Sat</v>
      </c>
    </row>
    <row r="344" spans="1:10" x14ac:dyDescent="0.4">
      <c r="A344" s="1">
        <v>45634</v>
      </c>
      <c r="B344">
        <v>522130</v>
      </c>
      <c r="C344">
        <v>512255.14</v>
      </c>
      <c r="D344">
        <v>401</v>
      </c>
      <c r="E344">
        <f>YEAR(agg_orders_daily_revenue[[#This Row],[Order_Date]])</f>
        <v>2024</v>
      </c>
      <c r="F344">
        <f>MONTH(agg_orders_daily_revenue[[#This Row],[Order_Date]])</f>
        <v>12</v>
      </c>
      <c r="G344" t="str">
        <f>TEXT(agg_orders_daily_revenue[[#This Row],[Order_Date]],"yyyy-mm")</f>
        <v>2024-12</v>
      </c>
      <c r="H344">
        <f>WEEKDAY(agg_orders_daily_revenue[[#This Row],[Order_Date]],2)</f>
        <v>7</v>
      </c>
      <c r="I344" t="str">
        <f>IF(OR(agg_orders_daily_revenue[[#This Row],[Weekday_Num]]=6, agg_orders_daily_revenue[[#This Row],[Weekday_Num]]=7), "Weekend", "Weekday")</f>
        <v>Weekend</v>
      </c>
      <c r="J344" t="str">
        <f>TEXT(agg_orders_daily_revenue[[#This Row],[Order_Date]], "ddd")</f>
        <v>Sun</v>
      </c>
    </row>
    <row r="345" spans="1:10" x14ac:dyDescent="0.4">
      <c r="A345" s="1">
        <v>45635</v>
      </c>
      <c r="B345">
        <v>491315</v>
      </c>
      <c r="C345">
        <v>511680.43</v>
      </c>
      <c r="D345">
        <v>392</v>
      </c>
      <c r="E345">
        <f>YEAR(agg_orders_daily_revenue[[#This Row],[Order_Date]])</f>
        <v>2024</v>
      </c>
      <c r="F345">
        <f>MONTH(agg_orders_daily_revenue[[#This Row],[Order_Date]])</f>
        <v>12</v>
      </c>
      <c r="G345" t="str">
        <f>TEXT(agg_orders_daily_revenue[[#This Row],[Order_Date]],"yyyy-mm")</f>
        <v>2024-12</v>
      </c>
      <c r="H345">
        <f>WEEKDAY(agg_orders_daily_revenue[[#This Row],[Order_Date]],2)</f>
        <v>1</v>
      </c>
      <c r="I345" t="str">
        <f>IF(OR(agg_orders_daily_revenue[[#This Row],[Weekday_Num]]=6, agg_orders_daily_revenue[[#This Row],[Weekday_Num]]=7), "Weekend", "Weekday")</f>
        <v>Weekday</v>
      </c>
      <c r="J345" t="str">
        <f>TEXT(agg_orders_daily_revenue[[#This Row],[Order_Date]], "ddd")</f>
        <v>Mon</v>
      </c>
    </row>
    <row r="346" spans="1:10" x14ac:dyDescent="0.4">
      <c r="A346" s="1">
        <v>45636</v>
      </c>
      <c r="B346">
        <v>532606</v>
      </c>
      <c r="C346">
        <v>521258.43</v>
      </c>
      <c r="D346">
        <v>439</v>
      </c>
      <c r="E346">
        <f>YEAR(agg_orders_daily_revenue[[#This Row],[Order_Date]])</f>
        <v>2024</v>
      </c>
      <c r="F346">
        <f>MONTH(agg_orders_daily_revenue[[#This Row],[Order_Date]])</f>
        <v>12</v>
      </c>
      <c r="G346" t="str">
        <f>TEXT(agg_orders_daily_revenue[[#This Row],[Order_Date]],"yyyy-mm")</f>
        <v>2024-12</v>
      </c>
      <c r="H346">
        <f>WEEKDAY(agg_orders_daily_revenue[[#This Row],[Order_Date]],2)</f>
        <v>2</v>
      </c>
      <c r="I346" t="str">
        <f>IF(OR(agg_orders_daily_revenue[[#This Row],[Weekday_Num]]=6, agg_orders_daily_revenue[[#This Row],[Weekday_Num]]=7), "Weekend", "Weekday")</f>
        <v>Weekday</v>
      </c>
      <c r="J346" t="str">
        <f>TEXT(agg_orders_daily_revenue[[#This Row],[Order_Date]], "ddd")</f>
        <v>Tue</v>
      </c>
    </row>
    <row r="347" spans="1:10" x14ac:dyDescent="0.4">
      <c r="A347" s="1">
        <v>45637</v>
      </c>
      <c r="B347">
        <v>479085</v>
      </c>
      <c r="C347">
        <v>516740.14</v>
      </c>
      <c r="D347">
        <v>401</v>
      </c>
      <c r="E347">
        <f>YEAR(agg_orders_daily_revenue[[#This Row],[Order_Date]])</f>
        <v>2024</v>
      </c>
      <c r="F347">
        <f>MONTH(agg_orders_daily_revenue[[#This Row],[Order_Date]])</f>
        <v>12</v>
      </c>
      <c r="G347" t="str">
        <f>TEXT(agg_orders_daily_revenue[[#This Row],[Order_Date]],"yyyy-mm")</f>
        <v>2024-12</v>
      </c>
      <c r="H347">
        <f>WEEKDAY(agg_orders_daily_revenue[[#This Row],[Order_Date]],2)</f>
        <v>3</v>
      </c>
      <c r="I347" t="str">
        <f>IF(OR(agg_orders_daily_revenue[[#This Row],[Weekday_Num]]=6, agg_orders_daily_revenue[[#This Row],[Weekday_Num]]=7), "Weekend", "Weekday")</f>
        <v>Weekday</v>
      </c>
      <c r="J347" t="str">
        <f>TEXT(agg_orders_daily_revenue[[#This Row],[Order_Date]], "ddd")</f>
        <v>Wed</v>
      </c>
    </row>
    <row r="348" spans="1:10" x14ac:dyDescent="0.4">
      <c r="A348" s="1">
        <v>45638</v>
      </c>
      <c r="B348">
        <v>511723</v>
      </c>
      <c r="C348">
        <v>512271.14</v>
      </c>
      <c r="D348">
        <v>417</v>
      </c>
      <c r="E348">
        <f>YEAR(agg_orders_daily_revenue[[#This Row],[Order_Date]])</f>
        <v>2024</v>
      </c>
      <c r="F348">
        <f>MONTH(agg_orders_daily_revenue[[#This Row],[Order_Date]])</f>
        <v>12</v>
      </c>
      <c r="G348" t="str">
        <f>TEXT(agg_orders_daily_revenue[[#This Row],[Order_Date]],"yyyy-mm")</f>
        <v>2024-12</v>
      </c>
      <c r="H348">
        <f>WEEKDAY(agg_orders_daily_revenue[[#This Row],[Order_Date]],2)</f>
        <v>4</v>
      </c>
      <c r="I348" t="str">
        <f>IF(OR(agg_orders_daily_revenue[[#This Row],[Weekday_Num]]=6, agg_orders_daily_revenue[[#This Row],[Weekday_Num]]=7), "Weekend", "Weekday")</f>
        <v>Weekday</v>
      </c>
      <c r="J348" t="str">
        <f>TEXT(agg_orders_daily_revenue[[#This Row],[Order_Date]], "ddd")</f>
        <v>Thu</v>
      </c>
    </row>
    <row r="349" spans="1:10" x14ac:dyDescent="0.4">
      <c r="A349" s="1">
        <v>45639</v>
      </c>
      <c r="B349">
        <v>503836</v>
      </c>
      <c r="C349">
        <v>510338.43</v>
      </c>
      <c r="D349">
        <v>411</v>
      </c>
      <c r="E349">
        <f>YEAR(agg_orders_daily_revenue[[#This Row],[Order_Date]])</f>
        <v>2024</v>
      </c>
      <c r="F349">
        <f>MONTH(agg_orders_daily_revenue[[#This Row],[Order_Date]])</f>
        <v>12</v>
      </c>
      <c r="G349" t="str">
        <f>TEXT(agg_orders_daily_revenue[[#This Row],[Order_Date]],"yyyy-mm")</f>
        <v>2024-12</v>
      </c>
      <c r="H349">
        <f>WEEKDAY(agg_orders_daily_revenue[[#This Row],[Order_Date]],2)</f>
        <v>5</v>
      </c>
      <c r="I349" t="str">
        <f>IF(OR(agg_orders_daily_revenue[[#This Row],[Weekday_Num]]=6, agg_orders_daily_revenue[[#This Row],[Weekday_Num]]=7), "Weekend", "Weekday")</f>
        <v>Weekday</v>
      </c>
      <c r="J349" t="str">
        <f>TEXT(agg_orders_daily_revenue[[#This Row],[Order_Date]], "ddd")</f>
        <v>Fri</v>
      </c>
    </row>
    <row r="350" spans="1:10" x14ac:dyDescent="0.4">
      <c r="A350" s="1">
        <v>45640</v>
      </c>
      <c r="B350">
        <v>518328</v>
      </c>
      <c r="C350">
        <v>508431.86</v>
      </c>
      <c r="D350">
        <v>423</v>
      </c>
      <c r="E350">
        <f>YEAR(agg_orders_daily_revenue[[#This Row],[Order_Date]])</f>
        <v>2024</v>
      </c>
      <c r="F350">
        <f>MONTH(agg_orders_daily_revenue[[#This Row],[Order_Date]])</f>
        <v>12</v>
      </c>
      <c r="G350" t="str">
        <f>TEXT(agg_orders_daily_revenue[[#This Row],[Order_Date]],"yyyy-mm")</f>
        <v>2024-12</v>
      </c>
      <c r="H350">
        <f>WEEKDAY(agg_orders_daily_revenue[[#This Row],[Order_Date]],2)</f>
        <v>6</v>
      </c>
      <c r="I350" t="str">
        <f>IF(OR(agg_orders_daily_revenue[[#This Row],[Weekday_Num]]=6, agg_orders_daily_revenue[[#This Row],[Weekday_Num]]=7), "Weekend", "Weekday")</f>
        <v>Weekend</v>
      </c>
      <c r="J350" t="str">
        <f>TEXT(agg_orders_daily_revenue[[#This Row],[Order_Date]], "ddd")</f>
        <v>Sat</v>
      </c>
    </row>
    <row r="351" spans="1:10" x14ac:dyDescent="0.4">
      <c r="A351" s="1">
        <v>45641</v>
      </c>
      <c r="B351">
        <v>501864</v>
      </c>
      <c r="C351">
        <v>505536.71</v>
      </c>
      <c r="D351">
        <v>411</v>
      </c>
      <c r="E351">
        <f>YEAR(agg_orders_daily_revenue[[#This Row],[Order_Date]])</f>
        <v>2024</v>
      </c>
      <c r="F351">
        <f>MONTH(agg_orders_daily_revenue[[#This Row],[Order_Date]])</f>
        <v>12</v>
      </c>
      <c r="G351" t="str">
        <f>TEXT(agg_orders_daily_revenue[[#This Row],[Order_Date]],"yyyy-mm")</f>
        <v>2024-12</v>
      </c>
      <c r="H351">
        <f>WEEKDAY(agg_orders_daily_revenue[[#This Row],[Order_Date]],2)</f>
        <v>7</v>
      </c>
      <c r="I351" t="str">
        <f>IF(OR(agg_orders_daily_revenue[[#This Row],[Weekday_Num]]=6, agg_orders_daily_revenue[[#This Row],[Weekday_Num]]=7), "Weekend", "Weekday")</f>
        <v>Weekend</v>
      </c>
      <c r="J351" t="str">
        <f>TEXT(agg_orders_daily_revenue[[#This Row],[Order_Date]], "ddd")</f>
        <v>Sun</v>
      </c>
    </row>
    <row r="352" spans="1:10" x14ac:dyDescent="0.4">
      <c r="A352" s="1">
        <v>45642</v>
      </c>
      <c r="B352">
        <v>496212</v>
      </c>
      <c r="C352">
        <v>506236.29</v>
      </c>
      <c r="D352">
        <v>400</v>
      </c>
      <c r="E352">
        <f>YEAR(agg_orders_daily_revenue[[#This Row],[Order_Date]])</f>
        <v>2024</v>
      </c>
      <c r="F352">
        <f>MONTH(agg_orders_daily_revenue[[#This Row],[Order_Date]])</f>
        <v>12</v>
      </c>
      <c r="G352" t="str">
        <f>TEXT(agg_orders_daily_revenue[[#This Row],[Order_Date]],"yyyy-mm")</f>
        <v>2024-12</v>
      </c>
      <c r="H352">
        <f>WEEKDAY(agg_orders_daily_revenue[[#This Row],[Order_Date]],2)</f>
        <v>1</v>
      </c>
      <c r="I352" t="str">
        <f>IF(OR(agg_orders_daily_revenue[[#This Row],[Weekday_Num]]=6, agg_orders_daily_revenue[[#This Row],[Weekday_Num]]=7), "Weekend", "Weekday")</f>
        <v>Weekday</v>
      </c>
      <c r="J352" t="str">
        <f>TEXT(agg_orders_daily_revenue[[#This Row],[Order_Date]], "ddd")</f>
        <v>Mon</v>
      </c>
    </row>
    <row r="353" spans="1:10" x14ac:dyDescent="0.4">
      <c r="A353" s="1">
        <v>45643</v>
      </c>
      <c r="B353">
        <v>496129</v>
      </c>
      <c r="C353">
        <v>501025.29</v>
      </c>
      <c r="D353">
        <v>399</v>
      </c>
      <c r="E353">
        <f>YEAR(agg_orders_daily_revenue[[#This Row],[Order_Date]])</f>
        <v>2024</v>
      </c>
      <c r="F353">
        <f>MONTH(agg_orders_daily_revenue[[#This Row],[Order_Date]])</f>
        <v>12</v>
      </c>
      <c r="G353" t="str">
        <f>TEXT(agg_orders_daily_revenue[[#This Row],[Order_Date]],"yyyy-mm")</f>
        <v>2024-12</v>
      </c>
      <c r="H353">
        <f>WEEKDAY(agg_orders_daily_revenue[[#This Row],[Order_Date]],2)</f>
        <v>2</v>
      </c>
      <c r="I353" t="str">
        <f>IF(OR(agg_orders_daily_revenue[[#This Row],[Weekday_Num]]=6, agg_orders_daily_revenue[[#This Row],[Weekday_Num]]=7), "Weekend", "Weekday")</f>
        <v>Weekday</v>
      </c>
      <c r="J353" t="str">
        <f>TEXT(agg_orders_daily_revenue[[#This Row],[Order_Date]], "ddd")</f>
        <v>Tue</v>
      </c>
    </row>
    <row r="354" spans="1:10" x14ac:dyDescent="0.4">
      <c r="A354" s="1">
        <v>45644</v>
      </c>
      <c r="B354">
        <v>473000</v>
      </c>
      <c r="C354">
        <v>500156</v>
      </c>
      <c r="D354">
        <v>396</v>
      </c>
      <c r="E354">
        <f>YEAR(agg_orders_daily_revenue[[#This Row],[Order_Date]])</f>
        <v>2024</v>
      </c>
      <c r="F354">
        <f>MONTH(agg_orders_daily_revenue[[#This Row],[Order_Date]])</f>
        <v>12</v>
      </c>
      <c r="G354" t="str">
        <f>TEXT(agg_orders_daily_revenue[[#This Row],[Order_Date]],"yyyy-mm")</f>
        <v>2024-12</v>
      </c>
      <c r="H354">
        <f>WEEKDAY(agg_orders_daily_revenue[[#This Row],[Order_Date]],2)</f>
        <v>3</v>
      </c>
      <c r="I354" t="str">
        <f>IF(OR(agg_orders_daily_revenue[[#This Row],[Weekday_Num]]=6, agg_orders_daily_revenue[[#This Row],[Weekday_Num]]=7), "Weekend", "Weekday")</f>
        <v>Weekday</v>
      </c>
      <c r="J354" t="str">
        <f>TEXT(agg_orders_daily_revenue[[#This Row],[Order_Date]], "ddd")</f>
        <v>Wed</v>
      </c>
    </row>
    <row r="355" spans="1:10" x14ac:dyDescent="0.4">
      <c r="A355" s="1">
        <v>45645</v>
      </c>
      <c r="B355">
        <v>482199</v>
      </c>
      <c r="C355">
        <v>495938.29</v>
      </c>
      <c r="D355">
        <v>405</v>
      </c>
      <c r="E355">
        <f>YEAR(agg_orders_daily_revenue[[#This Row],[Order_Date]])</f>
        <v>2024</v>
      </c>
      <c r="F355">
        <f>MONTH(agg_orders_daily_revenue[[#This Row],[Order_Date]])</f>
        <v>12</v>
      </c>
      <c r="G355" t="str">
        <f>TEXT(agg_orders_daily_revenue[[#This Row],[Order_Date]],"yyyy-mm")</f>
        <v>2024-12</v>
      </c>
      <c r="H355">
        <f>WEEKDAY(agg_orders_daily_revenue[[#This Row],[Order_Date]],2)</f>
        <v>4</v>
      </c>
      <c r="I355" t="str">
        <f>IF(OR(agg_orders_daily_revenue[[#This Row],[Weekday_Num]]=6, agg_orders_daily_revenue[[#This Row],[Weekday_Num]]=7), "Weekend", "Weekday")</f>
        <v>Weekday</v>
      </c>
      <c r="J355" t="str">
        <f>TEXT(agg_orders_daily_revenue[[#This Row],[Order_Date]], "ddd")</f>
        <v>Thu</v>
      </c>
    </row>
    <row r="356" spans="1:10" x14ac:dyDescent="0.4">
      <c r="A356" s="1">
        <v>45646</v>
      </c>
      <c r="B356">
        <v>517347</v>
      </c>
      <c r="C356">
        <v>497868.43</v>
      </c>
      <c r="D356">
        <v>422</v>
      </c>
      <c r="E356">
        <f>YEAR(agg_orders_daily_revenue[[#This Row],[Order_Date]])</f>
        <v>2024</v>
      </c>
      <c r="F356">
        <f>MONTH(agg_orders_daily_revenue[[#This Row],[Order_Date]])</f>
        <v>12</v>
      </c>
      <c r="G356" t="str">
        <f>TEXT(agg_orders_daily_revenue[[#This Row],[Order_Date]],"yyyy-mm")</f>
        <v>2024-12</v>
      </c>
      <c r="H356">
        <f>WEEKDAY(agg_orders_daily_revenue[[#This Row],[Order_Date]],2)</f>
        <v>5</v>
      </c>
      <c r="I356" t="str">
        <f>IF(OR(agg_orders_daily_revenue[[#This Row],[Weekday_Num]]=6, agg_orders_daily_revenue[[#This Row],[Weekday_Num]]=7), "Weekend", "Weekday")</f>
        <v>Weekday</v>
      </c>
      <c r="J356" t="str">
        <f>TEXT(agg_orders_daily_revenue[[#This Row],[Order_Date]], "ddd")</f>
        <v>Fri</v>
      </c>
    </row>
    <row r="357" spans="1:10" x14ac:dyDescent="0.4">
      <c r="A357" s="1">
        <v>45647</v>
      </c>
      <c r="B357">
        <v>498825</v>
      </c>
      <c r="C357">
        <v>495082.29</v>
      </c>
      <c r="D357">
        <v>410</v>
      </c>
      <c r="E357">
        <f>YEAR(agg_orders_daily_revenue[[#This Row],[Order_Date]])</f>
        <v>2024</v>
      </c>
      <c r="F357">
        <f>MONTH(agg_orders_daily_revenue[[#This Row],[Order_Date]])</f>
        <v>12</v>
      </c>
      <c r="G357" t="str">
        <f>TEXT(agg_orders_daily_revenue[[#This Row],[Order_Date]],"yyyy-mm")</f>
        <v>2024-12</v>
      </c>
      <c r="H357">
        <f>WEEKDAY(agg_orders_daily_revenue[[#This Row],[Order_Date]],2)</f>
        <v>6</v>
      </c>
      <c r="I357" t="str">
        <f>IF(OR(agg_orders_daily_revenue[[#This Row],[Weekday_Num]]=6, agg_orders_daily_revenue[[#This Row],[Weekday_Num]]=7), "Weekend", "Weekday")</f>
        <v>Weekend</v>
      </c>
      <c r="J357" t="str">
        <f>TEXT(agg_orders_daily_revenue[[#This Row],[Order_Date]], "ddd")</f>
        <v>Sat</v>
      </c>
    </row>
    <row r="358" spans="1:10" x14ac:dyDescent="0.4">
      <c r="A358" s="1">
        <v>45648</v>
      </c>
      <c r="B358">
        <v>484601</v>
      </c>
      <c r="C358">
        <v>492616.14</v>
      </c>
      <c r="D358">
        <v>396</v>
      </c>
      <c r="E358">
        <f>YEAR(agg_orders_daily_revenue[[#This Row],[Order_Date]])</f>
        <v>2024</v>
      </c>
      <c r="F358">
        <f>MONTH(agg_orders_daily_revenue[[#This Row],[Order_Date]])</f>
        <v>12</v>
      </c>
      <c r="G358" t="str">
        <f>TEXT(agg_orders_daily_revenue[[#This Row],[Order_Date]],"yyyy-mm")</f>
        <v>2024-12</v>
      </c>
      <c r="H358">
        <f>WEEKDAY(agg_orders_daily_revenue[[#This Row],[Order_Date]],2)</f>
        <v>7</v>
      </c>
      <c r="I358" t="str">
        <f>IF(OR(agg_orders_daily_revenue[[#This Row],[Weekday_Num]]=6, agg_orders_daily_revenue[[#This Row],[Weekday_Num]]=7), "Weekend", "Weekday")</f>
        <v>Weekend</v>
      </c>
      <c r="J358" t="str">
        <f>TEXT(agg_orders_daily_revenue[[#This Row],[Order_Date]], "ddd")</f>
        <v>Sun</v>
      </c>
    </row>
    <row r="359" spans="1:10" x14ac:dyDescent="0.4">
      <c r="A359" s="1">
        <v>45649</v>
      </c>
      <c r="B359">
        <v>559182</v>
      </c>
      <c r="C359">
        <v>501611.86</v>
      </c>
      <c r="D359">
        <v>421</v>
      </c>
      <c r="E359">
        <f>YEAR(agg_orders_daily_revenue[[#This Row],[Order_Date]])</f>
        <v>2024</v>
      </c>
      <c r="F359">
        <f>MONTH(agg_orders_daily_revenue[[#This Row],[Order_Date]])</f>
        <v>12</v>
      </c>
      <c r="G359" t="str">
        <f>TEXT(agg_orders_daily_revenue[[#This Row],[Order_Date]],"yyyy-mm")</f>
        <v>2024-12</v>
      </c>
      <c r="H359">
        <f>WEEKDAY(agg_orders_daily_revenue[[#This Row],[Order_Date]],2)</f>
        <v>1</v>
      </c>
      <c r="I359" t="str">
        <f>IF(OR(agg_orders_daily_revenue[[#This Row],[Weekday_Num]]=6, agg_orders_daily_revenue[[#This Row],[Weekday_Num]]=7), "Weekend", "Weekday")</f>
        <v>Weekday</v>
      </c>
      <c r="J359" t="str">
        <f>TEXT(agg_orders_daily_revenue[[#This Row],[Order_Date]], "ddd")</f>
        <v>Mon</v>
      </c>
    </row>
    <row r="360" spans="1:10" x14ac:dyDescent="0.4">
      <c r="A360" s="1">
        <v>45650</v>
      </c>
      <c r="B360">
        <v>525297</v>
      </c>
      <c r="C360">
        <v>505778.71</v>
      </c>
      <c r="D360">
        <v>429</v>
      </c>
      <c r="E360">
        <f>YEAR(agg_orders_daily_revenue[[#This Row],[Order_Date]])</f>
        <v>2024</v>
      </c>
      <c r="F360">
        <f>MONTH(agg_orders_daily_revenue[[#This Row],[Order_Date]])</f>
        <v>12</v>
      </c>
      <c r="G360" t="str">
        <f>TEXT(agg_orders_daily_revenue[[#This Row],[Order_Date]],"yyyy-mm")</f>
        <v>2024-12</v>
      </c>
      <c r="H360">
        <f>WEEKDAY(agg_orders_daily_revenue[[#This Row],[Order_Date]],2)</f>
        <v>2</v>
      </c>
      <c r="I360" t="str">
        <f>IF(OR(agg_orders_daily_revenue[[#This Row],[Weekday_Num]]=6, agg_orders_daily_revenue[[#This Row],[Weekday_Num]]=7), "Weekend", "Weekday")</f>
        <v>Weekday</v>
      </c>
      <c r="J360" t="str">
        <f>TEXT(agg_orders_daily_revenue[[#This Row],[Order_Date]], "ddd")</f>
        <v>Tue</v>
      </c>
    </row>
    <row r="361" spans="1:10" x14ac:dyDescent="0.4">
      <c r="A361" s="1">
        <v>45651</v>
      </c>
      <c r="B361">
        <v>569116</v>
      </c>
      <c r="C361">
        <v>519509.57</v>
      </c>
      <c r="D361">
        <v>427</v>
      </c>
      <c r="E361">
        <f>YEAR(agg_orders_daily_revenue[[#This Row],[Order_Date]])</f>
        <v>2024</v>
      </c>
      <c r="F361">
        <f>MONTH(agg_orders_daily_revenue[[#This Row],[Order_Date]])</f>
        <v>12</v>
      </c>
      <c r="G361" t="str">
        <f>TEXT(agg_orders_daily_revenue[[#This Row],[Order_Date]],"yyyy-mm")</f>
        <v>2024-12</v>
      </c>
      <c r="H361">
        <f>WEEKDAY(agg_orders_daily_revenue[[#This Row],[Order_Date]],2)</f>
        <v>3</v>
      </c>
      <c r="I361" t="str">
        <f>IF(OR(agg_orders_daily_revenue[[#This Row],[Weekday_Num]]=6, agg_orders_daily_revenue[[#This Row],[Weekday_Num]]=7), "Weekend", "Weekday")</f>
        <v>Weekday</v>
      </c>
      <c r="J361" t="str">
        <f>TEXT(agg_orders_daily_revenue[[#This Row],[Order_Date]], "ddd")</f>
        <v>Wed</v>
      </c>
    </row>
    <row r="362" spans="1:10" x14ac:dyDescent="0.4">
      <c r="A362" s="1">
        <v>45652</v>
      </c>
      <c r="B362">
        <v>470470</v>
      </c>
      <c r="C362">
        <v>517834</v>
      </c>
      <c r="D362">
        <v>380</v>
      </c>
      <c r="E362">
        <f>YEAR(agg_orders_daily_revenue[[#This Row],[Order_Date]])</f>
        <v>2024</v>
      </c>
      <c r="F362">
        <f>MONTH(agg_orders_daily_revenue[[#This Row],[Order_Date]])</f>
        <v>12</v>
      </c>
      <c r="G362" t="str">
        <f>TEXT(agg_orders_daily_revenue[[#This Row],[Order_Date]],"yyyy-mm")</f>
        <v>2024-12</v>
      </c>
      <c r="H362">
        <f>WEEKDAY(agg_orders_daily_revenue[[#This Row],[Order_Date]],2)</f>
        <v>4</v>
      </c>
      <c r="I362" t="str">
        <f>IF(OR(agg_orders_daily_revenue[[#This Row],[Weekday_Num]]=6, agg_orders_daily_revenue[[#This Row],[Weekday_Num]]=7), "Weekend", "Weekday")</f>
        <v>Weekday</v>
      </c>
      <c r="J362" t="str">
        <f>TEXT(agg_orders_daily_revenue[[#This Row],[Order_Date]], "ddd")</f>
        <v>Thu</v>
      </c>
    </row>
    <row r="363" spans="1:10" x14ac:dyDescent="0.4">
      <c r="A363" s="1">
        <v>45653</v>
      </c>
      <c r="B363">
        <v>539102</v>
      </c>
      <c r="C363">
        <v>520941.86</v>
      </c>
      <c r="D363">
        <v>442</v>
      </c>
      <c r="E363">
        <f>YEAR(agg_orders_daily_revenue[[#This Row],[Order_Date]])</f>
        <v>2024</v>
      </c>
      <c r="F363">
        <f>MONTH(agg_orders_daily_revenue[[#This Row],[Order_Date]])</f>
        <v>12</v>
      </c>
      <c r="G363" t="str">
        <f>TEXT(agg_orders_daily_revenue[[#This Row],[Order_Date]],"yyyy-mm")</f>
        <v>2024-12</v>
      </c>
      <c r="H363">
        <f>WEEKDAY(agg_orders_daily_revenue[[#This Row],[Order_Date]],2)</f>
        <v>5</v>
      </c>
      <c r="I363" t="str">
        <f>IF(OR(agg_orders_daily_revenue[[#This Row],[Weekday_Num]]=6, agg_orders_daily_revenue[[#This Row],[Weekday_Num]]=7), "Weekend", "Weekday")</f>
        <v>Weekday</v>
      </c>
      <c r="J363" t="str">
        <f>TEXT(agg_orders_daily_revenue[[#This Row],[Order_Date]], "ddd")</f>
        <v>Fri</v>
      </c>
    </row>
    <row r="364" spans="1:10" x14ac:dyDescent="0.4">
      <c r="A364" s="1">
        <v>45654</v>
      </c>
      <c r="B364">
        <v>481522</v>
      </c>
      <c r="C364">
        <v>518470</v>
      </c>
      <c r="D364">
        <v>390</v>
      </c>
      <c r="E364">
        <f>YEAR(agg_orders_daily_revenue[[#This Row],[Order_Date]])</f>
        <v>2024</v>
      </c>
      <c r="F364">
        <f>MONTH(agg_orders_daily_revenue[[#This Row],[Order_Date]])</f>
        <v>12</v>
      </c>
      <c r="G364" t="str">
        <f>TEXT(agg_orders_daily_revenue[[#This Row],[Order_Date]],"yyyy-mm")</f>
        <v>2024-12</v>
      </c>
      <c r="H364">
        <f>WEEKDAY(agg_orders_daily_revenue[[#This Row],[Order_Date]],2)</f>
        <v>6</v>
      </c>
      <c r="I364" t="str">
        <f>IF(OR(agg_orders_daily_revenue[[#This Row],[Weekday_Num]]=6, agg_orders_daily_revenue[[#This Row],[Weekday_Num]]=7), "Weekend", "Weekday")</f>
        <v>Weekend</v>
      </c>
      <c r="J364" t="str">
        <f>TEXT(agg_orders_daily_revenue[[#This Row],[Order_Date]], "ddd")</f>
        <v>Sat</v>
      </c>
    </row>
    <row r="365" spans="1:10" x14ac:dyDescent="0.4">
      <c r="A365" s="1">
        <v>45655</v>
      </c>
      <c r="B365">
        <v>516110</v>
      </c>
      <c r="C365">
        <v>522971.29</v>
      </c>
      <c r="D365">
        <v>397</v>
      </c>
      <c r="E365">
        <f>YEAR(agg_orders_daily_revenue[[#This Row],[Order_Date]])</f>
        <v>2024</v>
      </c>
      <c r="F365">
        <f>MONTH(agg_orders_daily_revenue[[#This Row],[Order_Date]])</f>
        <v>12</v>
      </c>
      <c r="G365" t="str">
        <f>TEXT(agg_orders_daily_revenue[[#This Row],[Order_Date]],"yyyy-mm")</f>
        <v>2024-12</v>
      </c>
      <c r="H365">
        <f>WEEKDAY(agg_orders_daily_revenue[[#This Row],[Order_Date]],2)</f>
        <v>7</v>
      </c>
      <c r="I365" t="str">
        <f>IF(OR(agg_orders_daily_revenue[[#This Row],[Weekday_Num]]=6, agg_orders_daily_revenue[[#This Row],[Weekday_Num]]=7), "Weekend", "Weekday")</f>
        <v>Weekend</v>
      </c>
      <c r="J365" t="str">
        <f>TEXT(agg_orders_daily_revenue[[#This Row],[Order_Date]], "ddd")</f>
        <v>Sun</v>
      </c>
    </row>
    <row r="366" spans="1:10" x14ac:dyDescent="0.4">
      <c r="A366" s="1">
        <v>45656</v>
      </c>
      <c r="B366">
        <v>503805</v>
      </c>
      <c r="C366">
        <v>515060.29</v>
      </c>
      <c r="D366">
        <v>399</v>
      </c>
      <c r="E366">
        <f>YEAR(agg_orders_daily_revenue[[#This Row],[Order_Date]])</f>
        <v>2024</v>
      </c>
      <c r="F366">
        <f>MONTH(agg_orders_daily_revenue[[#This Row],[Order_Date]])</f>
        <v>12</v>
      </c>
      <c r="G366" t="str">
        <f>TEXT(agg_orders_daily_revenue[[#This Row],[Order_Date]],"yyyy-mm")</f>
        <v>2024-12</v>
      </c>
      <c r="H366">
        <f>WEEKDAY(agg_orders_daily_revenue[[#This Row],[Order_Date]],2)</f>
        <v>1</v>
      </c>
      <c r="I366" t="str">
        <f>IF(OR(agg_orders_daily_revenue[[#This Row],[Weekday_Num]]=6, agg_orders_daily_revenue[[#This Row],[Weekday_Num]]=7), "Weekend", "Weekday")</f>
        <v>Weekday</v>
      </c>
      <c r="J366" t="str">
        <f>TEXT(agg_orders_daily_revenue[[#This Row],[Order_Date]], "ddd")</f>
        <v>Mon</v>
      </c>
    </row>
    <row r="367" spans="1:10" x14ac:dyDescent="0.4">
      <c r="A367" s="1">
        <v>45657</v>
      </c>
      <c r="B367">
        <v>481959</v>
      </c>
      <c r="C367">
        <v>508869.14</v>
      </c>
      <c r="D367">
        <v>377</v>
      </c>
      <c r="E367">
        <f>YEAR(agg_orders_daily_revenue[[#This Row],[Order_Date]])</f>
        <v>2024</v>
      </c>
      <c r="F367">
        <f>MONTH(agg_orders_daily_revenue[[#This Row],[Order_Date]])</f>
        <v>12</v>
      </c>
      <c r="G367" t="str">
        <f>TEXT(agg_orders_daily_revenue[[#This Row],[Order_Date]],"yyyy-mm")</f>
        <v>2024-12</v>
      </c>
      <c r="H367">
        <f>WEEKDAY(agg_orders_daily_revenue[[#This Row],[Order_Date]],2)</f>
        <v>2</v>
      </c>
      <c r="I367" t="str">
        <f>IF(OR(agg_orders_daily_revenue[[#This Row],[Weekday_Num]]=6, agg_orders_daily_revenue[[#This Row],[Weekday_Num]]=7), "Weekend", "Weekday")</f>
        <v>Weekday</v>
      </c>
      <c r="J367" t="str">
        <f>TEXT(agg_orders_daily_revenue[[#This Row],[Order_Date]], "ddd")</f>
        <v>Tue</v>
      </c>
    </row>
    <row r="368" spans="1:10" x14ac:dyDescent="0.4">
      <c r="A368" s="1">
        <v>45658</v>
      </c>
      <c r="B368">
        <v>498367</v>
      </c>
      <c r="C368">
        <v>498762.14</v>
      </c>
      <c r="D368">
        <v>393</v>
      </c>
      <c r="E368">
        <f>YEAR(agg_orders_daily_revenue[[#This Row],[Order_Date]])</f>
        <v>2025</v>
      </c>
      <c r="F368">
        <f>MONTH(agg_orders_daily_revenue[[#This Row],[Order_Date]])</f>
        <v>1</v>
      </c>
      <c r="G368" t="str">
        <f>TEXT(agg_orders_daily_revenue[[#This Row],[Order_Date]],"yyyy-mm")</f>
        <v>2025-01</v>
      </c>
      <c r="H368">
        <f>WEEKDAY(agg_orders_daily_revenue[[#This Row],[Order_Date]],2)</f>
        <v>3</v>
      </c>
      <c r="I368" t="str">
        <f>IF(OR(agg_orders_daily_revenue[[#This Row],[Weekday_Num]]=6, agg_orders_daily_revenue[[#This Row],[Weekday_Num]]=7), "Weekend", "Weekday")</f>
        <v>Weekday</v>
      </c>
      <c r="J368" t="str">
        <f>TEXT(agg_orders_daily_revenue[[#This Row],[Order_Date]], "ddd")</f>
        <v>Wed</v>
      </c>
    </row>
    <row r="369" spans="1:10" x14ac:dyDescent="0.4">
      <c r="A369" s="1">
        <v>45659</v>
      </c>
      <c r="B369">
        <v>508958</v>
      </c>
      <c r="C369">
        <v>504260.43</v>
      </c>
      <c r="D369">
        <v>408</v>
      </c>
      <c r="E369">
        <f>YEAR(agg_orders_daily_revenue[[#This Row],[Order_Date]])</f>
        <v>2025</v>
      </c>
      <c r="F369">
        <f>MONTH(agg_orders_daily_revenue[[#This Row],[Order_Date]])</f>
        <v>1</v>
      </c>
      <c r="G369" t="str">
        <f>TEXT(agg_orders_daily_revenue[[#This Row],[Order_Date]],"yyyy-mm")</f>
        <v>2025-01</v>
      </c>
      <c r="H369">
        <f>WEEKDAY(agg_orders_daily_revenue[[#This Row],[Order_Date]],2)</f>
        <v>4</v>
      </c>
      <c r="I369" t="str">
        <f>IF(OR(agg_orders_daily_revenue[[#This Row],[Weekday_Num]]=6, agg_orders_daily_revenue[[#This Row],[Weekday_Num]]=7), "Weekend", "Weekday")</f>
        <v>Weekday</v>
      </c>
      <c r="J369" t="str">
        <f>TEXT(agg_orders_daily_revenue[[#This Row],[Order_Date]], "ddd")</f>
        <v>Thu</v>
      </c>
    </row>
    <row r="370" spans="1:10" x14ac:dyDescent="0.4">
      <c r="A370" s="1">
        <v>45660</v>
      </c>
      <c r="B370">
        <v>537396</v>
      </c>
      <c r="C370">
        <v>504016.71</v>
      </c>
      <c r="D370">
        <v>443</v>
      </c>
      <c r="E370">
        <f>YEAR(agg_orders_daily_revenue[[#This Row],[Order_Date]])</f>
        <v>2025</v>
      </c>
      <c r="F370">
        <f>MONTH(agg_orders_daily_revenue[[#This Row],[Order_Date]])</f>
        <v>1</v>
      </c>
      <c r="G370" t="str">
        <f>TEXT(agg_orders_daily_revenue[[#This Row],[Order_Date]],"yyyy-mm")</f>
        <v>2025-01</v>
      </c>
      <c r="H370">
        <f>WEEKDAY(agg_orders_daily_revenue[[#This Row],[Order_Date]],2)</f>
        <v>5</v>
      </c>
      <c r="I370" t="str">
        <f>IF(OR(agg_orders_daily_revenue[[#This Row],[Weekday_Num]]=6, agg_orders_daily_revenue[[#This Row],[Weekday_Num]]=7), "Weekend", "Weekday")</f>
        <v>Weekday</v>
      </c>
      <c r="J370" t="str">
        <f>TEXT(agg_orders_daily_revenue[[#This Row],[Order_Date]], "ddd")</f>
        <v>Fri</v>
      </c>
    </row>
    <row r="371" spans="1:10" x14ac:dyDescent="0.4">
      <c r="A371" s="1">
        <v>45661</v>
      </c>
      <c r="B371">
        <v>480913</v>
      </c>
      <c r="C371">
        <v>503929.71</v>
      </c>
      <c r="D371">
        <v>390</v>
      </c>
      <c r="E371">
        <f>YEAR(agg_orders_daily_revenue[[#This Row],[Order_Date]])</f>
        <v>2025</v>
      </c>
      <c r="F371">
        <f>MONTH(agg_orders_daily_revenue[[#This Row],[Order_Date]])</f>
        <v>1</v>
      </c>
      <c r="G371" t="str">
        <f>TEXT(agg_orders_daily_revenue[[#This Row],[Order_Date]],"yyyy-mm")</f>
        <v>2025-01</v>
      </c>
      <c r="H371">
        <f>WEEKDAY(agg_orders_daily_revenue[[#This Row],[Order_Date]],2)</f>
        <v>6</v>
      </c>
      <c r="I371" t="str">
        <f>IF(OR(agg_orders_daily_revenue[[#This Row],[Weekday_Num]]=6, agg_orders_daily_revenue[[#This Row],[Weekday_Num]]=7), "Weekend", "Weekday")</f>
        <v>Weekend</v>
      </c>
      <c r="J371" t="str">
        <f>TEXT(agg_orders_daily_revenue[[#This Row],[Order_Date]], "ddd")</f>
        <v>Sat</v>
      </c>
    </row>
    <row r="372" spans="1:10" x14ac:dyDescent="0.4">
      <c r="A372" s="1">
        <v>45662</v>
      </c>
      <c r="B372">
        <v>498233</v>
      </c>
      <c r="C372">
        <v>501375.86</v>
      </c>
      <c r="D372">
        <v>408</v>
      </c>
      <c r="E372">
        <f>YEAR(agg_orders_daily_revenue[[#This Row],[Order_Date]])</f>
        <v>2025</v>
      </c>
      <c r="F372">
        <f>MONTH(agg_orders_daily_revenue[[#This Row],[Order_Date]])</f>
        <v>1</v>
      </c>
      <c r="G372" t="str">
        <f>TEXT(agg_orders_daily_revenue[[#This Row],[Order_Date]],"yyyy-mm")</f>
        <v>2025-01</v>
      </c>
      <c r="H372">
        <f>WEEKDAY(agg_orders_daily_revenue[[#This Row],[Order_Date]],2)</f>
        <v>7</v>
      </c>
      <c r="I372" t="str">
        <f>IF(OR(agg_orders_daily_revenue[[#This Row],[Weekday_Num]]=6, agg_orders_daily_revenue[[#This Row],[Weekday_Num]]=7), "Weekend", "Weekday")</f>
        <v>Weekend</v>
      </c>
      <c r="J372" t="str">
        <f>TEXT(agg_orders_daily_revenue[[#This Row],[Order_Date]], "ddd")</f>
        <v>Sun</v>
      </c>
    </row>
    <row r="373" spans="1:10" x14ac:dyDescent="0.4">
      <c r="A373" s="1">
        <v>45663</v>
      </c>
      <c r="B373">
        <v>533209</v>
      </c>
      <c r="C373">
        <v>505576.43</v>
      </c>
      <c r="D373">
        <v>413</v>
      </c>
      <c r="E373">
        <f>YEAR(agg_orders_daily_revenue[[#This Row],[Order_Date]])</f>
        <v>2025</v>
      </c>
      <c r="F373">
        <f>MONTH(agg_orders_daily_revenue[[#This Row],[Order_Date]])</f>
        <v>1</v>
      </c>
      <c r="G373" t="str">
        <f>TEXT(agg_orders_daily_revenue[[#This Row],[Order_Date]],"yyyy-mm")</f>
        <v>2025-01</v>
      </c>
      <c r="H373">
        <f>WEEKDAY(agg_orders_daily_revenue[[#This Row],[Order_Date]],2)</f>
        <v>1</v>
      </c>
      <c r="I373" t="str">
        <f>IF(OR(agg_orders_daily_revenue[[#This Row],[Weekday_Num]]=6, agg_orders_daily_revenue[[#This Row],[Weekday_Num]]=7), "Weekend", "Weekday")</f>
        <v>Weekday</v>
      </c>
      <c r="J373" t="str">
        <f>TEXT(agg_orders_daily_revenue[[#This Row],[Order_Date]], "ddd")</f>
        <v>Mon</v>
      </c>
    </row>
    <row r="374" spans="1:10" x14ac:dyDescent="0.4">
      <c r="A374" s="1">
        <v>45664</v>
      </c>
      <c r="B374">
        <v>489414</v>
      </c>
      <c r="C374">
        <v>506641.43</v>
      </c>
      <c r="D374">
        <v>393</v>
      </c>
      <c r="E374">
        <f>YEAR(agg_orders_daily_revenue[[#This Row],[Order_Date]])</f>
        <v>2025</v>
      </c>
      <c r="F374">
        <f>MONTH(agg_orders_daily_revenue[[#This Row],[Order_Date]])</f>
        <v>1</v>
      </c>
      <c r="G374" t="str">
        <f>TEXT(agg_orders_daily_revenue[[#This Row],[Order_Date]],"yyyy-mm")</f>
        <v>2025-01</v>
      </c>
      <c r="H374">
        <f>WEEKDAY(agg_orders_daily_revenue[[#This Row],[Order_Date]],2)</f>
        <v>2</v>
      </c>
      <c r="I374" t="str">
        <f>IF(OR(agg_orders_daily_revenue[[#This Row],[Weekday_Num]]=6, agg_orders_daily_revenue[[#This Row],[Weekday_Num]]=7), "Weekend", "Weekday")</f>
        <v>Weekday</v>
      </c>
      <c r="J374" t="str">
        <f>TEXT(agg_orders_daily_revenue[[#This Row],[Order_Date]], "ddd")</f>
        <v>Tue</v>
      </c>
    </row>
    <row r="375" spans="1:10" x14ac:dyDescent="0.4">
      <c r="A375" s="1">
        <v>45665</v>
      </c>
      <c r="B375">
        <v>553562</v>
      </c>
      <c r="C375">
        <v>514526.43</v>
      </c>
      <c r="D375">
        <v>423</v>
      </c>
      <c r="E375">
        <f>YEAR(agg_orders_daily_revenue[[#This Row],[Order_Date]])</f>
        <v>2025</v>
      </c>
      <c r="F375">
        <f>MONTH(agg_orders_daily_revenue[[#This Row],[Order_Date]])</f>
        <v>1</v>
      </c>
      <c r="G375" t="str">
        <f>TEXT(agg_orders_daily_revenue[[#This Row],[Order_Date]],"yyyy-mm")</f>
        <v>2025-01</v>
      </c>
      <c r="H375">
        <f>WEEKDAY(agg_orders_daily_revenue[[#This Row],[Order_Date]],2)</f>
        <v>3</v>
      </c>
      <c r="I375" t="str">
        <f>IF(OR(agg_orders_daily_revenue[[#This Row],[Weekday_Num]]=6, agg_orders_daily_revenue[[#This Row],[Weekday_Num]]=7), "Weekend", "Weekday")</f>
        <v>Weekday</v>
      </c>
      <c r="J375" t="str">
        <f>TEXT(agg_orders_daily_revenue[[#This Row],[Order_Date]], "ddd")</f>
        <v>Wed</v>
      </c>
    </row>
    <row r="376" spans="1:10" x14ac:dyDescent="0.4">
      <c r="A376" s="1">
        <v>45666</v>
      </c>
      <c r="B376">
        <v>483215</v>
      </c>
      <c r="C376">
        <v>510848.86</v>
      </c>
      <c r="D376">
        <v>420</v>
      </c>
      <c r="E376">
        <f>YEAR(agg_orders_daily_revenue[[#This Row],[Order_Date]])</f>
        <v>2025</v>
      </c>
      <c r="F376">
        <f>MONTH(agg_orders_daily_revenue[[#This Row],[Order_Date]])</f>
        <v>1</v>
      </c>
      <c r="G376" t="str">
        <f>TEXT(agg_orders_daily_revenue[[#This Row],[Order_Date]],"yyyy-mm")</f>
        <v>2025-01</v>
      </c>
      <c r="H376">
        <f>WEEKDAY(agg_orders_daily_revenue[[#This Row],[Order_Date]],2)</f>
        <v>4</v>
      </c>
      <c r="I376" t="str">
        <f>IF(OR(agg_orders_daily_revenue[[#This Row],[Weekday_Num]]=6, agg_orders_daily_revenue[[#This Row],[Weekday_Num]]=7), "Weekend", "Weekday")</f>
        <v>Weekday</v>
      </c>
      <c r="J376" t="str">
        <f>TEXT(agg_orders_daily_revenue[[#This Row],[Order_Date]], "ddd")</f>
        <v>Thu</v>
      </c>
    </row>
    <row r="377" spans="1:10" x14ac:dyDescent="0.4">
      <c r="A377" s="1">
        <v>45667</v>
      </c>
      <c r="B377">
        <v>538291</v>
      </c>
      <c r="C377">
        <v>510976.71</v>
      </c>
      <c r="D377">
        <v>430</v>
      </c>
      <c r="E377">
        <f>YEAR(agg_orders_daily_revenue[[#This Row],[Order_Date]])</f>
        <v>2025</v>
      </c>
      <c r="F377">
        <f>MONTH(agg_orders_daily_revenue[[#This Row],[Order_Date]])</f>
        <v>1</v>
      </c>
      <c r="G377" t="str">
        <f>TEXT(agg_orders_daily_revenue[[#This Row],[Order_Date]],"yyyy-mm")</f>
        <v>2025-01</v>
      </c>
      <c r="H377">
        <f>WEEKDAY(agg_orders_daily_revenue[[#This Row],[Order_Date]],2)</f>
        <v>5</v>
      </c>
      <c r="I377" t="str">
        <f>IF(OR(agg_orders_daily_revenue[[#This Row],[Weekday_Num]]=6, agg_orders_daily_revenue[[#This Row],[Weekday_Num]]=7), "Weekend", "Weekday")</f>
        <v>Weekday</v>
      </c>
      <c r="J377" t="str">
        <f>TEXT(agg_orders_daily_revenue[[#This Row],[Order_Date]], "ddd")</f>
        <v>Fri</v>
      </c>
    </row>
    <row r="378" spans="1:10" x14ac:dyDescent="0.4">
      <c r="A378" s="1">
        <v>45668</v>
      </c>
      <c r="B378">
        <v>547637</v>
      </c>
      <c r="C378">
        <v>520508.71</v>
      </c>
      <c r="D378">
        <v>431</v>
      </c>
      <c r="E378">
        <f>YEAR(agg_orders_daily_revenue[[#This Row],[Order_Date]])</f>
        <v>2025</v>
      </c>
      <c r="F378">
        <f>MONTH(agg_orders_daily_revenue[[#This Row],[Order_Date]])</f>
        <v>1</v>
      </c>
      <c r="G378" t="str">
        <f>TEXT(agg_orders_daily_revenue[[#This Row],[Order_Date]],"yyyy-mm")</f>
        <v>2025-01</v>
      </c>
      <c r="H378">
        <f>WEEKDAY(agg_orders_daily_revenue[[#This Row],[Order_Date]],2)</f>
        <v>6</v>
      </c>
      <c r="I378" t="str">
        <f>IF(OR(agg_orders_daily_revenue[[#This Row],[Weekday_Num]]=6, agg_orders_daily_revenue[[#This Row],[Weekday_Num]]=7), "Weekend", "Weekday")</f>
        <v>Weekend</v>
      </c>
      <c r="J378" t="str">
        <f>TEXT(agg_orders_daily_revenue[[#This Row],[Order_Date]], "ddd")</f>
        <v>Sat</v>
      </c>
    </row>
    <row r="379" spans="1:10" x14ac:dyDescent="0.4">
      <c r="A379" s="1">
        <v>45669</v>
      </c>
      <c r="B379">
        <v>479493</v>
      </c>
      <c r="C379">
        <v>517831.57</v>
      </c>
      <c r="D379">
        <v>374</v>
      </c>
      <c r="E379">
        <f>YEAR(agg_orders_daily_revenue[[#This Row],[Order_Date]])</f>
        <v>2025</v>
      </c>
      <c r="F379">
        <f>MONTH(agg_orders_daily_revenue[[#This Row],[Order_Date]])</f>
        <v>1</v>
      </c>
      <c r="G379" t="str">
        <f>TEXT(agg_orders_daily_revenue[[#This Row],[Order_Date]],"yyyy-mm")</f>
        <v>2025-01</v>
      </c>
      <c r="H379">
        <f>WEEKDAY(agg_orders_daily_revenue[[#This Row],[Order_Date]],2)</f>
        <v>7</v>
      </c>
      <c r="I379" t="str">
        <f>IF(OR(agg_orders_daily_revenue[[#This Row],[Weekday_Num]]=6, agg_orders_daily_revenue[[#This Row],[Weekday_Num]]=7), "Weekend", "Weekday")</f>
        <v>Weekend</v>
      </c>
      <c r="J379" t="str">
        <f>TEXT(agg_orders_daily_revenue[[#This Row],[Order_Date]], "ddd")</f>
        <v>Sun</v>
      </c>
    </row>
    <row r="380" spans="1:10" x14ac:dyDescent="0.4">
      <c r="A380" s="1">
        <v>45670</v>
      </c>
      <c r="B380">
        <v>513556</v>
      </c>
      <c r="C380">
        <v>515024</v>
      </c>
      <c r="D380">
        <v>397</v>
      </c>
      <c r="E380">
        <f>YEAR(agg_orders_daily_revenue[[#This Row],[Order_Date]])</f>
        <v>2025</v>
      </c>
      <c r="F380">
        <f>MONTH(agg_orders_daily_revenue[[#This Row],[Order_Date]])</f>
        <v>1</v>
      </c>
      <c r="G380" t="str">
        <f>TEXT(agg_orders_daily_revenue[[#This Row],[Order_Date]],"yyyy-mm")</f>
        <v>2025-01</v>
      </c>
      <c r="H380">
        <f>WEEKDAY(agg_orders_daily_revenue[[#This Row],[Order_Date]],2)</f>
        <v>1</v>
      </c>
      <c r="I380" t="str">
        <f>IF(OR(agg_orders_daily_revenue[[#This Row],[Weekday_Num]]=6, agg_orders_daily_revenue[[#This Row],[Weekday_Num]]=7), "Weekend", "Weekday")</f>
        <v>Weekday</v>
      </c>
      <c r="J380" t="str">
        <f>TEXT(agg_orders_daily_revenue[[#This Row],[Order_Date]], "ddd")</f>
        <v>Mon</v>
      </c>
    </row>
    <row r="381" spans="1:10" x14ac:dyDescent="0.4">
      <c r="A381" s="1">
        <v>45671</v>
      </c>
      <c r="B381">
        <v>544235</v>
      </c>
      <c r="C381">
        <v>522855.57</v>
      </c>
      <c r="D381">
        <v>419</v>
      </c>
      <c r="E381">
        <f>YEAR(agg_orders_daily_revenue[[#This Row],[Order_Date]])</f>
        <v>2025</v>
      </c>
      <c r="F381">
        <f>MONTH(agg_orders_daily_revenue[[#This Row],[Order_Date]])</f>
        <v>1</v>
      </c>
      <c r="G381" t="str">
        <f>TEXT(agg_orders_daily_revenue[[#This Row],[Order_Date]],"yyyy-mm")</f>
        <v>2025-01</v>
      </c>
      <c r="H381">
        <f>WEEKDAY(agg_orders_daily_revenue[[#This Row],[Order_Date]],2)</f>
        <v>2</v>
      </c>
      <c r="I381" t="str">
        <f>IF(OR(agg_orders_daily_revenue[[#This Row],[Weekday_Num]]=6, agg_orders_daily_revenue[[#This Row],[Weekday_Num]]=7), "Weekend", "Weekday")</f>
        <v>Weekday</v>
      </c>
      <c r="J381" t="str">
        <f>TEXT(agg_orders_daily_revenue[[#This Row],[Order_Date]], "ddd")</f>
        <v>Tue</v>
      </c>
    </row>
    <row r="382" spans="1:10" x14ac:dyDescent="0.4">
      <c r="A382" s="1">
        <v>45672</v>
      </c>
      <c r="B382">
        <v>462065</v>
      </c>
      <c r="C382">
        <v>509784.57</v>
      </c>
      <c r="D382">
        <v>387</v>
      </c>
      <c r="E382">
        <f>YEAR(agg_orders_daily_revenue[[#This Row],[Order_Date]])</f>
        <v>2025</v>
      </c>
      <c r="F382">
        <f>MONTH(agg_orders_daily_revenue[[#This Row],[Order_Date]])</f>
        <v>1</v>
      </c>
      <c r="G382" t="str">
        <f>TEXT(agg_orders_daily_revenue[[#This Row],[Order_Date]],"yyyy-mm")</f>
        <v>2025-01</v>
      </c>
      <c r="H382">
        <f>WEEKDAY(agg_orders_daily_revenue[[#This Row],[Order_Date]],2)</f>
        <v>3</v>
      </c>
      <c r="I382" t="str">
        <f>IF(OR(agg_orders_daily_revenue[[#This Row],[Weekday_Num]]=6, agg_orders_daily_revenue[[#This Row],[Weekday_Num]]=7), "Weekend", "Weekday")</f>
        <v>Weekday</v>
      </c>
      <c r="J382" t="str">
        <f>TEXT(agg_orders_daily_revenue[[#This Row],[Order_Date]], "ddd")</f>
        <v>Wed</v>
      </c>
    </row>
    <row r="383" spans="1:10" x14ac:dyDescent="0.4">
      <c r="A383" s="1">
        <v>45673</v>
      </c>
      <c r="B383">
        <v>514095</v>
      </c>
      <c r="C383">
        <v>514196</v>
      </c>
      <c r="D383">
        <v>422</v>
      </c>
      <c r="E383">
        <f>YEAR(agg_orders_daily_revenue[[#This Row],[Order_Date]])</f>
        <v>2025</v>
      </c>
      <c r="F383">
        <f>MONTH(agg_orders_daily_revenue[[#This Row],[Order_Date]])</f>
        <v>1</v>
      </c>
      <c r="G383" t="str">
        <f>TEXT(agg_orders_daily_revenue[[#This Row],[Order_Date]],"yyyy-mm")</f>
        <v>2025-01</v>
      </c>
      <c r="H383">
        <f>WEEKDAY(agg_orders_daily_revenue[[#This Row],[Order_Date]],2)</f>
        <v>4</v>
      </c>
      <c r="I383" t="str">
        <f>IF(OR(agg_orders_daily_revenue[[#This Row],[Weekday_Num]]=6, agg_orders_daily_revenue[[#This Row],[Weekday_Num]]=7), "Weekend", "Weekday")</f>
        <v>Weekday</v>
      </c>
      <c r="J383" t="str">
        <f>TEXT(agg_orders_daily_revenue[[#This Row],[Order_Date]], "ddd")</f>
        <v>Thu</v>
      </c>
    </row>
    <row r="384" spans="1:10" x14ac:dyDescent="0.4">
      <c r="A384" s="1">
        <v>45674</v>
      </c>
      <c r="B384">
        <v>519834</v>
      </c>
      <c r="C384">
        <v>511559.29</v>
      </c>
      <c r="D384">
        <v>420</v>
      </c>
      <c r="E384">
        <f>YEAR(agg_orders_daily_revenue[[#This Row],[Order_Date]])</f>
        <v>2025</v>
      </c>
      <c r="F384">
        <f>MONTH(agg_orders_daily_revenue[[#This Row],[Order_Date]])</f>
        <v>1</v>
      </c>
      <c r="G384" t="str">
        <f>TEXT(agg_orders_daily_revenue[[#This Row],[Order_Date]],"yyyy-mm")</f>
        <v>2025-01</v>
      </c>
      <c r="H384">
        <f>WEEKDAY(agg_orders_daily_revenue[[#This Row],[Order_Date]],2)</f>
        <v>5</v>
      </c>
      <c r="I384" t="str">
        <f>IF(OR(agg_orders_daily_revenue[[#This Row],[Weekday_Num]]=6, agg_orders_daily_revenue[[#This Row],[Weekday_Num]]=7), "Weekend", "Weekday")</f>
        <v>Weekday</v>
      </c>
      <c r="J384" t="str">
        <f>TEXT(agg_orders_daily_revenue[[#This Row],[Order_Date]], "ddd")</f>
        <v>Fri</v>
      </c>
    </row>
    <row r="385" spans="1:10" x14ac:dyDescent="0.4">
      <c r="A385" s="1">
        <v>45675</v>
      </c>
      <c r="B385">
        <v>509783</v>
      </c>
      <c r="C385">
        <v>506151.57</v>
      </c>
      <c r="D385">
        <v>416</v>
      </c>
      <c r="E385">
        <f>YEAR(agg_orders_daily_revenue[[#This Row],[Order_Date]])</f>
        <v>2025</v>
      </c>
      <c r="F385">
        <f>MONTH(agg_orders_daily_revenue[[#This Row],[Order_Date]])</f>
        <v>1</v>
      </c>
      <c r="G385" t="str">
        <f>TEXT(agg_orders_daily_revenue[[#This Row],[Order_Date]],"yyyy-mm")</f>
        <v>2025-01</v>
      </c>
      <c r="H385">
        <f>WEEKDAY(agg_orders_daily_revenue[[#This Row],[Order_Date]],2)</f>
        <v>6</v>
      </c>
      <c r="I385" t="str">
        <f>IF(OR(agg_orders_daily_revenue[[#This Row],[Weekday_Num]]=6, agg_orders_daily_revenue[[#This Row],[Weekday_Num]]=7), "Weekend", "Weekday")</f>
        <v>Weekend</v>
      </c>
      <c r="J385" t="str">
        <f>TEXT(agg_orders_daily_revenue[[#This Row],[Order_Date]], "ddd")</f>
        <v>Sat</v>
      </c>
    </row>
    <row r="386" spans="1:10" x14ac:dyDescent="0.4">
      <c r="A386" s="1">
        <v>45676</v>
      </c>
      <c r="B386">
        <v>549050</v>
      </c>
      <c r="C386">
        <v>516088.29</v>
      </c>
      <c r="D386">
        <v>432</v>
      </c>
      <c r="E386">
        <f>YEAR(agg_orders_daily_revenue[[#This Row],[Order_Date]])</f>
        <v>2025</v>
      </c>
      <c r="F386">
        <f>MONTH(agg_orders_daily_revenue[[#This Row],[Order_Date]])</f>
        <v>1</v>
      </c>
      <c r="G386" t="str">
        <f>TEXT(agg_orders_daily_revenue[[#This Row],[Order_Date]],"yyyy-mm")</f>
        <v>2025-01</v>
      </c>
      <c r="H386">
        <f>WEEKDAY(agg_orders_daily_revenue[[#This Row],[Order_Date]],2)</f>
        <v>7</v>
      </c>
      <c r="I386" t="str">
        <f>IF(OR(agg_orders_daily_revenue[[#This Row],[Weekday_Num]]=6, agg_orders_daily_revenue[[#This Row],[Weekday_Num]]=7), "Weekend", "Weekday")</f>
        <v>Weekend</v>
      </c>
      <c r="J386" t="str">
        <f>TEXT(agg_orders_daily_revenue[[#This Row],[Order_Date]], "ddd")</f>
        <v>Sun</v>
      </c>
    </row>
    <row r="387" spans="1:10" x14ac:dyDescent="0.4">
      <c r="A387" s="1">
        <v>45677</v>
      </c>
      <c r="B387">
        <v>525203</v>
      </c>
      <c r="C387">
        <v>517752.14</v>
      </c>
      <c r="D387">
        <v>436</v>
      </c>
      <c r="E387">
        <f>YEAR(agg_orders_daily_revenue[[#This Row],[Order_Date]])</f>
        <v>2025</v>
      </c>
      <c r="F387">
        <f>MONTH(agg_orders_daily_revenue[[#This Row],[Order_Date]])</f>
        <v>1</v>
      </c>
      <c r="G387" t="str">
        <f>TEXT(agg_orders_daily_revenue[[#This Row],[Order_Date]],"yyyy-mm")</f>
        <v>2025-01</v>
      </c>
      <c r="H387">
        <f>WEEKDAY(agg_orders_daily_revenue[[#This Row],[Order_Date]],2)</f>
        <v>1</v>
      </c>
      <c r="I387" t="str">
        <f>IF(OR(agg_orders_daily_revenue[[#This Row],[Weekday_Num]]=6, agg_orders_daily_revenue[[#This Row],[Weekday_Num]]=7), "Weekend", "Weekday")</f>
        <v>Weekday</v>
      </c>
      <c r="J387" t="str">
        <f>TEXT(agg_orders_daily_revenue[[#This Row],[Order_Date]], "ddd")</f>
        <v>Mon</v>
      </c>
    </row>
    <row r="388" spans="1:10" x14ac:dyDescent="0.4">
      <c r="A388" s="1">
        <v>45678</v>
      </c>
      <c r="B388">
        <v>510486</v>
      </c>
      <c r="C388">
        <v>512930.86</v>
      </c>
      <c r="D388">
        <v>422</v>
      </c>
      <c r="E388">
        <f>YEAR(agg_orders_daily_revenue[[#This Row],[Order_Date]])</f>
        <v>2025</v>
      </c>
      <c r="F388">
        <f>MONTH(agg_orders_daily_revenue[[#This Row],[Order_Date]])</f>
        <v>1</v>
      </c>
      <c r="G388" t="str">
        <f>TEXT(agg_orders_daily_revenue[[#This Row],[Order_Date]],"yyyy-mm")</f>
        <v>2025-01</v>
      </c>
      <c r="H388">
        <f>WEEKDAY(agg_orders_daily_revenue[[#This Row],[Order_Date]],2)</f>
        <v>2</v>
      </c>
      <c r="I388" t="str">
        <f>IF(OR(agg_orders_daily_revenue[[#This Row],[Weekday_Num]]=6, agg_orders_daily_revenue[[#This Row],[Weekday_Num]]=7), "Weekend", "Weekday")</f>
        <v>Weekday</v>
      </c>
      <c r="J388" t="str">
        <f>TEXT(agg_orders_daily_revenue[[#This Row],[Order_Date]], "ddd")</f>
        <v>Tue</v>
      </c>
    </row>
    <row r="389" spans="1:10" x14ac:dyDescent="0.4">
      <c r="A389" s="1">
        <v>45679</v>
      </c>
      <c r="B389">
        <v>538675</v>
      </c>
      <c r="C389">
        <v>523875.14</v>
      </c>
      <c r="D389">
        <v>413</v>
      </c>
      <c r="E389">
        <f>YEAR(agg_orders_daily_revenue[[#This Row],[Order_Date]])</f>
        <v>2025</v>
      </c>
      <c r="F389">
        <f>MONTH(agg_orders_daily_revenue[[#This Row],[Order_Date]])</f>
        <v>1</v>
      </c>
      <c r="G389" t="str">
        <f>TEXT(agg_orders_daily_revenue[[#This Row],[Order_Date]],"yyyy-mm")</f>
        <v>2025-01</v>
      </c>
      <c r="H389">
        <f>WEEKDAY(agg_orders_daily_revenue[[#This Row],[Order_Date]],2)</f>
        <v>3</v>
      </c>
      <c r="I389" t="str">
        <f>IF(OR(agg_orders_daily_revenue[[#This Row],[Weekday_Num]]=6, agg_orders_daily_revenue[[#This Row],[Weekday_Num]]=7), "Weekend", "Weekday")</f>
        <v>Weekday</v>
      </c>
      <c r="J389" t="str">
        <f>TEXT(agg_orders_daily_revenue[[#This Row],[Order_Date]], "ddd")</f>
        <v>Wed</v>
      </c>
    </row>
    <row r="390" spans="1:10" x14ac:dyDescent="0.4">
      <c r="A390" s="1">
        <v>45680</v>
      </c>
      <c r="B390">
        <v>501431</v>
      </c>
      <c r="C390">
        <v>522066</v>
      </c>
      <c r="D390">
        <v>402</v>
      </c>
      <c r="E390">
        <f>YEAR(agg_orders_daily_revenue[[#This Row],[Order_Date]])</f>
        <v>2025</v>
      </c>
      <c r="F390">
        <f>MONTH(agg_orders_daily_revenue[[#This Row],[Order_Date]])</f>
        <v>1</v>
      </c>
      <c r="G390" t="str">
        <f>TEXT(agg_orders_daily_revenue[[#This Row],[Order_Date]],"yyyy-mm")</f>
        <v>2025-01</v>
      </c>
      <c r="H390">
        <f>WEEKDAY(agg_orders_daily_revenue[[#This Row],[Order_Date]],2)</f>
        <v>4</v>
      </c>
      <c r="I390" t="str">
        <f>IF(OR(agg_orders_daily_revenue[[#This Row],[Weekday_Num]]=6, agg_orders_daily_revenue[[#This Row],[Weekday_Num]]=7), "Weekend", "Weekday")</f>
        <v>Weekday</v>
      </c>
      <c r="J390" t="str">
        <f>TEXT(agg_orders_daily_revenue[[#This Row],[Order_Date]], "ddd")</f>
        <v>Thu</v>
      </c>
    </row>
    <row r="391" spans="1:10" x14ac:dyDescent="0.4">
      <c r="A391" s="1">
        <v>45681</v>
      </c>
      <c r="B391">
        <v>479542</v>
      </c>
      <c r="C391">
        <v>516310</v>
      </c>
      <c r="D391">
        <v>378</v>
      </c>
      <c r="E391">
        <f>YEAR(agg_orders_daily_revenue[[#This Row],[Order_Date]])</f>
        <v>2025</v>
      </c>
      <c r="F391">
        <f>MONTH(agg_orders_daily_revenue[[#This Row],[Order_Date]])</f>
        <v>1</v>
      </c>
      <c r="G391" t="str">
        <f>TEXT(agg_orders_daily_revenue[[#This Row],[Order_Date]],"yyyy-mm")</f>
        <v>2025-01</v>
      </c>
      <c r="H391">
        <f>WEEKDAY(agg_orders_daily_revenue[[#This Row],[Order_Date]],2)</f>
        <v>5</v>
      </c>
      <c r="I391" t="str">
        <f>IF(OR(agg_orders_daily_revenue[[#This Row],[Weekday_Num]]=6, agg_orders_daily_revenue[[#This Row],[Weekday_Num]]=7), "Weekend", "Weekday")</f>
        <v>Weekday</v>
      </c>
      <c r="J391" t="str">
        <f>TEXT(agg_orders_daily_revenue[[#This Row],[Order_Date]], "ddd")</f>
        <v>Fri</v>
      </c>
    </row>
    <row r="392" spans="1:10" x14ac:dyDescent="0.4">
      <c r="A392" s="1">
        <v>45682</v>
      </c>
      <c r="B392">
        <v>491543</v>
      </c>
      <c r="C392">
        <v>513704.29</v>
      </c>
      <c r="D392">
        <v>392</v>
      </c>
      <c r="E392">
        <f>YEAR(agg_orders_daily_revenue[[#This Row],[Order_Date]])</f>
        <v>2025</v>
      </c>
      <c r="F392">
        <f>MONTH(agg_orders_daily_revenue[[#This Row],[Order_Date]])</f>
        <v>1</v>
      </c>
      <c r="G392" t="str">
        <f>TEXT(agg_orders_daily_revenue[[#This Row],[Order_Date]],"yyyy-mm")</f>
        <v>2025-01</v>
      </c>
      <c r="H392">
        <f>WEEKDAY(agg_orders_daily_revenue[[#This Row],[Order_Date]],2)</f>
        <v>6</v>
      </c>
      <c r="I392" t="str">
        <f>IF(OR(agg_orders_daily_revenue[[#This Row],[Weekday_Num]]=6, agg_orders_daily_revenue[[#This Row],[Weekday_Num]]=7), "Weekend", "Weekday")</f>
        <v>Weekend</v>
      </c>
      <c r="J392" t="str">
        <f>TEXT(agg_orders_daily_revenue[[#This Row],[Order_Date]], "ddd")</f>
        <v>Sat</v>
      </c>
    </row>
    <row r="393" spans="1:10" x14ac:dyDescent="0.4">
      <c r="A393" s="1">
        <v>45683</v>
      </c>
      <c r="B393">
        <v>493493</v>
      </c>
      <c r="C393">
        <v>505767.57</v>
      </c>
      <c r="D393">
        <v>414</v>
      </c>
      <c r="E393">
        <f>YEAR(agg_orders_daily_revenue[[#This Row],[Order_Date]])</f>
        <v>2025</v>
      </c>
      <c r="F393">
        <f>MONTH(agg_orders_daily_revenue[[#This Row],[Order_Date]])</f>
        <v>1</v>
      </c>
      <c r="G393" t="str">
        <f>TEXT(agg_orders_daily_revenue[[#This Row],[Order_Date]],"yyyy-mm")</f>
        <v>2025-01</v>
      </c>
      <c r="H393">
        <f>WEEKDAY(agg_orders_daily_revenue[[#This Row],[Order_Date]],2)</f>
        <v>7</v>
      </c>
      <c r="I393" t="str">
        <f>IF(OR(agg_orders_daily_revenue[[#This Row],[Weekday_Num]]=6, agg_orders_daily_revenue[[#This Row],[Weekday_Num]]=7), "Weekend", "Weekday")</f>
        <v>Weekend</v>
      </c>
      <c r="J393" t="str">
        <f>TEXT(agg_orders_daily_revenue[[#This Row],[Order_Date]], "ddd")</f>
        <v>Sun</v>
      </c>
    </row>
    <row r="394" spans="1:10" x14ac:dyDescent="0.4">
      <c r="A394" s="1">
        <v>45684</v>
      </c>
      <c r="B394">
        <v>492755</v>
      </c>
      <c r="C394">
        <v>501132.14</v>
      </c>
      <c r="D394">
        <v>393</v>
      </c>
      <c r="E394">
        <f>YEAR(agg_orders_daily_revenue[[#This Row],[Order_Date]])</f>
        <v>2025</v>
      </c>
      <c r="F394">
        <f>MONTH(agg_orders_daily_revenue[[#This Row],[Order_Date]])</f>
        <v>1</v>
      </c>
      <c r="G394" t="str">
        <f>TEXT(agg_orders_daily_revenue[[#This Row],[Order_Date]],"yyyy-mm")</f>
        <v>2025-01</v>
      </c>
      <c r="H394">
        <f>WEEKDAY(agg_orders_daily_revenue[[#This Row],[Order_Date]],2)</f>
        <v>1</v>
      </c>
      <c r="I394" t="str">
        <f>IF(OR(agg_orders_daily_revenue[[#This Row],[Weekday_Num]]=6, agg_orders_daily_revenue[[#This Row],[Weekday_Num]]=7), "Weekend", "Weekday")</f>
        <v>Weekday</v>
      </c>
      <c r="J394" t="str">
        <f>TEXT(agg_orders_daily_revenue[[#This Row],[Order_Date]], "ddd")</f>
        <v>Mon</v>
      </c>
    </row>
    <row r="395" spans="1:10" x14ac:dyDescent="0.4">
      <c r="A395" s="1">
        <v>45685</v>
      </c>
      <c r="B395">
        <v>498378</v>
      </c>
      <c r="C395">
        <v>499402.43</v>
      </c>
      <c r="D395">
        <v>389</v>
      </c>
      <c r="E395">
        <f>YEAR(agg_orders_daily_revenue[[#This Row],[Order_Date]])</f>
        <v>2025</v>
      </c>
      <c r="F395">
        <f>MONTH(agg_orders_daily_revenue[[#This Row],[Order_Date]])</f>
        <v>1</v>
      </c>
      <c r="G395" t="str">
        <f>TEXT(agg_orders_daily_revenue[[#This Row],[Order_Date]],"yyyy-mm")</f>
        <v>2025-01</v>
      </c>
      <c r="H395">
        <f>WEEKDAY(agg_orders_daily_revenue[[#This Row],[Order_Date]],2)</f>
        <v>2</v>
      </c>
      <c r="I395" t="str">
        <f>IF(OR(agg_orders_daily_revenue[[#This Row],[Weekday_Num]]=6, agg_orders_daily_revenue[[#This Row],[Weekday_Num]]=7), "Weekend", "Weekday")</f>
        <v>Weekday</v>
      </c>
      <c r="J395" t="str">
        <f>TEXT(agg_orders_daily_revenue[[#This Row],[Order_Date]], "ddd")</f>
        <v>Tue</v>
      </c>
    </row>
    <row r="396" spans="1:10" x14ac:dyDescent="0.4">
      <c r="A396" s="1">
        <v>45686</v>
      </c>
      <c r="B396">
        <v>441937</v>
      </c>
      <c r="C396">
        <v>485582.71</v>
      </c>
      <c r="D396">
        <v>370</v>
      </c>
      <c r="E396">
        <f>YEAR(agg_orders_daily_revenue[[#This Row],[Order_Date]])</f>
        <v>2025</v>
      </c>
      <c r="F396">
        <f>MONTH(agg_orders_daily_revenue[[#This Row],[Order_Date]])</f>
        <v>1</v>
      </c>
      <c r="G396" t="str">
        <f>TEXT(agg_orders_daily_revenue[[#This Row],[Order_Date]],"yyyy-mm")</f>
        <v>2025-01</v>
      </c>
      <c r="H396">
        <f>WEEKDAY(agg_orders_daily_revenue[[#This Row],[Order_Date]],2)</f>
        <v>3</v>
      </c>
      <c r="I396" t="str">
        <f>IF(OR(agg_orders_daily_revenue[[#This Row],[Weekday_Num]]=6, agg_orders_daily_revenue[[#This Row],[Weekday_Num]]=7), "Weekend", "Weekday")</f>
        <v>Weekday</v>
      </c>
      <c r="J396" t="str">
        <f>TEXT(agg_orders_daily_revenue[[#This Row],[Order_Date]], "ddd")</f>
        <v>Wed</v>
      </c>
    </row>
    <row r="397" spans="1:10" x14ac:dyDescent="0.4">
      <c r="A397" s="1">
        <v>45687</v>
      </c>
      <c r="B397">
        <v>459936</v>
      </c>
      <c r="C397">
        <v>479654.86</v>
      </c>
      <c r="D397">
        <v>366</v>
      </c>
      <c r="E397">
        <f>YEAR(agg_orders_daily_revenue[[#This Row],[Order_Date]])</f>
        <v>2025</v>
      </c>
      <c r="F397">
        <f>MONTH(agg_orders_daily_revenue[[#This Row],[Order_Date]])</f>
        <v>1</v>
      </c>
      <c r="G397" t="str">
        <f>TEXT(agg_orders_daily_revenue[[#This Row],[Order_Date]],"yyyy-mm")</f>
        <v>2025-01</v>
      </c>
      <c r="H397">
        <f>WEEKDAY(agg_orders_daily_revenue[[#This Row],[Order_Date]],2)</f>
        <v>4</v>
      </c>
      <c r="I397" t="str">
        <f>IF(OR(agg_orders_daily_revenue[[#This Row],[Weekday_Num]]=6, agg_orders_daily_revenue[[#This Row],[Weekday_Num]]=7), "Weekend", "Weekday")</f>
        <v>Weekday</v>
      </c>
      <c r="J397" t="str">
        <f>TEXT(agg_orders_daily_revenue[[#This Row],[Order_Date]], "ddd")</f>
        <v>Thu</v>
      </c>
    </row>
    <row r="398" spans="1:10" x14ac:dyDescent="0.4">
      <c r="A398" s="1">
        <v>45688</v>
      </c>
      <c r="B398">
        <v>508597</v>
      </c>
      <c r="C398">
        <v>483805.57</v>
      </c>
      <c r="D398">
        <v>410</v>
      </c>
      <c r="E398">
        <f>YEAR(agg_orders_daily_revenue[[#This Row],[Order_Date]])</f>
        <v>2025</v>
      </c>
      <c r="F398">
        <f>MONTH(agg_orders_daily_revenue[[#This Row],[Order_Date]])</f>
        <v>1</v>
      </c>
      <c r="G398" t="str">
        <f>TEXT(agg_orders_daily_revenue[[#This Row],[Order_Date]],"yyyy-mm")</f>
        <v>2025-01</v>
      </c>
      <c r="H398">
        <f>WEEKDAY(agg_orders_daily_revenue[[#This Row],[Order_Date]],2)</f>
        <v>5</v>
      </c>
      <c r="I398" t="str">
        <f>IF(OR(agg_orders_daily_revenue[[#This Row],[Weekday_Num]]=6, agg_orders_daily_revenue[[#This Row],[Weekday_Num]]=7), "Weekend", "Weekday")</f>
        <v>Weekday</v>
      </c>
      <c r="J398" t="str">
        <f>TEXT(agg_orders_daily_revenue[[#This Row],[Order_Date]], "ddd")</f>
        <v>Fri</v>
      </c>
    </row>
    <row r="399" spans="1:10" x14ac:dyDescent="0.4">
      <c r="A399" s="1">
        <v>45689</v>
      </c>
      <c r="B399">
        <v>462522</v>
      </c>
      <c r="C399">
        <v>479659.71</v>
      </c>
      <c r="D399">
        <v>385</v>
      </c>
      <c r="E399">
        <f>YEAR(agg_orders_daily_revenue[[#This Row],[Order_Date]])</f>
        <v>2025</v>
      </c>
      <c r="F399">
        <f>MONTH(agg_orders_daily_revenue[[#This Row],[Order_Date]])</f>
        <v>2</v>
      </c>
      <c r="G399" t="str">
        <f>TEXT(agg_orders_daily_revenue[[#This Row],[Order_Date]],"yyyy-mm")</f>
        <v>2025-02</v>
      </c>
      <c r="H399">
        <f>WEEKDAY(agg_orders_daily_revenue[[#This Row],[Order_Date]],2)</f>
        <v>6</v>
      </c>
      <c r="I399" t="str">
        <f>IF(OR(agg_orders_daily_revenue[[#This Row],[Weekday_Num]]=6, agg_orders_daily_revenue[[#This Row],[Weekday_Num]]=7), "Weekend", "Weekday")</f>
        <v>Weekend</v>
      </c>
      <c r="J399" t="str">
        <f>TEXT(agg_orders_daily_revenue[[#This Row],[Order_Date]], "ddd")</f>
        <v>Sat</v>
      </c>
    </row>
    <row r="400" spans="1:10" x14ac:dyDescent="0.4">
      <c r="A400" s="1">
        <v>45690</v>
      </c>
      <c r="B400">
        <v>463536</v>
      </c>
      <c r="C400">
        <v>475380.14</v>
      </c>
      <c r="D400">
        <v>374</v>
      </c>
      <c r="E400">
        <f>YEAR(agg_orders_daily_revenue[[#This Row],[Order_Date]])</f>
        <v>2025</v>
      </c>
      <c r="F400">
        <f>MONTH(agg_orders_daily_revenue[[#This Row],[Order_Date]])</f>
        <v>2</v>
      </c>
      <c r="G400" t="str">
        <f>TEXT(agg_orders_daily_revenue[[#This Row],[Order_Date]],"yyyy-mm")</f>
        <v>2025-02</v>
      </c>
      <c r="H400">
        <f>WEEKDAY(agg_orders_daily_revenue[[#This Row],[Order_Date]],2)</f>
        <v>7</v>
      </c>
      <c r="I400" t="str">
        <f>IF(OR(agg_orders_daily_revenue[[#This Row],[Weekday_Num]]=6, agg_orders_daily_revenue[[#This Row],[Weekday_Num]]=7), "Weekend", "Weekday")</f>
        <v>Weekend</v>
      </c>
      <c r="J400" t="str">
        <f>TEXT(agg_orders_daily_revenue[[#This Row],[Order_Date]], "ddd")</f>
        <v>Sun</v>
      </c>
    </row>
    <row r="401" spans="1:10" x14ac:dyDescent="0.4">
      <c r="A401" s="1">
        <v>45691</v>
      </c>
      <c r="B401">
        <v>514191</v>
      </c>
      <c r="C401">
        <v>478442.43</v>
      </c>
      <c r="D401">
        <v>410</v>
      </c>
      <c r="E401">
        <f>YEAR(agg_orders_daily_revenue[[#This Row],[Order_Date]])</f>
        <v>2025</v>
      </c>
      <c r="F401">
        <f>MONTH(agg_orders_daily_revenue[[#This Row],[Order_Date]])</f>
        <v>2</v>
      </c>
      <c r="G401" t="str">
        <f>TEXT(agg_orders_daily_revenue[[#This Row],[Order_Date]],"yyyy-mm")</f>
        <v>2025-02</v>
      </c>
      <c r="H401">
        <f>WEEKDAY(agg_orders_daily_revenue[[#This Row],[Order_Date]],2)</f>
        <v>1</v>
      </c>
      <c r="I401" t="str">
        <f>IF(OR(agg_orders_daily_revenue[[#This Row],[Weekday_Num]]=6, agg_orders_daily_revenue[[#This Row],[Weekday_Num]]=7), "Weekend", "Weekday")</f>
        <v>Weekday</v>
      </c>
      <c r="J401" t="str">
        <f>TEXT(agg_orders_daily_revenue[[#This Row],[Order_Date]], "ddd")</f>
        <v>Mon</v>
      </c>
    </row>
    <row r="402" spans="1:10" x14ac:dyDescent="0.4">
      <c r="A402" s="1">
        <v>45692</v>
      </c>
      <c r="B402">
        <v>585043</v>
      </c>
      <c r="C402">
        <v>490823.14</v>
      </c>
      <c r="D402">
        <v>456</v>
      </c>
      <c r="E402">
        <f>YEAR(agg_orders_daily_revenue[[#This Row],[Order_Date]])</f>
        <v>2025</v>
      </c>
      <c r="F402">
        <f>MONTH(agg_orders_daily_revenue[[#This Row],[Order_Date]])</f>
        <v>2</v>
      </c>
      <c r="G402" t="str">
        <f>TEXT(agg_orders_daily_revenue[[#This Row],[Order_Date]],"yyyy-mm")</f>
        <v>2025-02</v>
      </c>
      <c r="H402">
        <f>WEEKDAY(agg_orders_daily_revenue[[#This Row],[Order_Date]],2)</f>
        <v>2</v>
      </c>
      <c r="I402" t="str">
        <f>IF(OR(agg_orders_daily_revenue[[#This Row],[Weekday_Num]]=6, agg_orders_daily_revenue[[#This Row],[Weekday_Num]]=7), "Weekend", "Weekday")</f>
        <v>Weekday</v>
      </c>
      <c r="J402" t="str">
        <f>TEXT(agg_orders_daily_revenue[[#This Row],[Order_Date]], "ddd")</f>
        <v>Tue</v>
      </c>
    </row>
    <row r="403" spans="1:10" x14ac:dyDescent="0.4">
      <c r="A403" s="1">
        <v>45693</v>
      </c>
      <c r="B403">
        <v>514846</v>
      </c>
      <c r="C403">
        <v>501238.71</v>
      </c>
      <c r="D403">
        <v>413</v>
      </c>
      <c r="E403">
        <f>YEAR(agg_orders_daily_revenue[[#This Row],[Order_Date]])</f>
        <v>2025</v>
      </c>
      <c r="F403">
        <f>MONTH(agg_orders_daily_revenue[[#This Row],[Order_Date]])</f>
        <v>2</v>
      </c>
      <c r="G403" t="str">
        <f>TEXT(agg_orders_daily_revenue[[#This Row],[Order_Date]],"yyyy-mm")</f>
        <v>2025-02</v>
      </c>
      <c r="H403">
        <f>WEEKDAY(agg_orders_daily_revenue[[#This Row],[Order_Date]],2)</f>
        <v>3</v>
      </c>
      <c r="I403" t="str">
        <f>IF(OR(agg_orders_daily_revenue[[#This Row],[Weekday_Num]]=6, agg_orders_daily_revenue[[#This Row],[Weekday_Num]]=7), "Weekend", "Weekday")</f>
        <v>Weekday</v>
      </c>
      <c r="J403" t="str">
        <f>TEXT(agg_orders_daily_revenue[[#This Row],[Order_Date]], "ddd")</f>
        <v>Wed</v>
      </c>
    </row>
    <row r="404" spans="1:10" x14ac:dyDescent="0.4">
      <c r="A404" s="1">
        <v>45694</v>
      </c>
      <c r="B404">
        <v>503122</v>
      </c>
      <c r="C404">
        <v>507408.14</v>
      </c>
      <c r="D404">
        <v>407</v>
      </c>
      <c r="E404">
        <f>YEAR(agg_orders_daily_revenue[[#This Row],[Order_Date]])</f>
        <v>2025</v>
      </c>
      <c r="F404">
        <f>MONTH(agg_orders_daily_revenue[[#This Row],[Order_Date]])</f>
        <v>2</v>
      </c>
      <c r="G404" t="str">
        <f>TEXT(agg_orders_daily_revenue[[#This Row],[Order_Date]],"yyyy-mm")</f>
        <v>2025-02</v>
      </c>
      <c r="H404">
        <f>WEEKDAY(agg_orders_daily_revenue[[#This Row],[Order_Date]],2)</f>
        <v>4</v>
      </c>
      <c r="I404" t="str">
        <f>IF(OR(agg_orders_daily_revenue[[#This Row],[Weekday_Num]]=6, agg_orders_daily_revenue[[#This Row],[Weekday_Num]]=7), "Weekend", "Weekday")</f>
        <v>Weekday</v>
      </c>
      <c r="J404" t="str">
        <f>TEXT(agg_orders_daily_revenue[[#This Row],[Order_Date]], "ddd")</f>
        <v>Thu</v>
      </c>
    </row>
    <row r="405" spans="1:10" x14ac:dyDescent="0.4">
      <c r="A405" s="1">
        <v>45695</v>
      </c>
      <c r="B405">
        <v>505340</v>
      </c>
      <c r="C405">
        <v>506942.86</v>
      </c>
      <c r="D405">
        <v>396</v>
      </c>
      <c r="E405">
        <f>YEAR(agg_orders_daily_revenue[[#This Row],[Order_Date]])</f>
        <v>2025</v>
      </c>
      <c r="F405">
        <f>MONTH(agg_orders_daily_revenue[[#This Row],[Order_Date]])</f>
        <v>2</v>
      </c>
      <c r="G405" t="str">
        <f>TEXT(agg_orders_daily_revenue[[#This Row],[Order_Date]],"yyyy-mm")</f>
        <v>2025-02</v>
      </c>
      <c r="H405">
        <f>WEEKDAY(agg_orders_daily_revenue[[#This Row],[Order_Date]],2)</f>
        <v>5</v>
      </c>
      <c r="I405" t="str">
        <f>IF(OR(agg_orders_daily_revenue[[#This Row],[Weekday_Num]]=6, agg_orders_daily_revenue[[#This Row],[Weekday_Num]]=7), "Weekend", "Weekday")</f>
        <v>Weekday</v>
      </c>
      <c r="J405" t="str">
        <f>TEXT(agg_orders_daily_revenue[[#This Row],[Order_Date]], "ddd")</f>
        <v>Fri</v>
      </c>
    </row>
    <row r="406" spans="1:10" x14ac:dyDescent="0.4">
      <c r="A406" s="1">
        <v>45696</v>
      </c>
      <c r="B406">
        <v>493057</v>
      </c>
      <c r="C406">
        <v>511305</v>
      </c>
      <c r="D406">
        <v>401</v>
      </c>
      <c r="E406">
        <f>YEAR(agg_orders_daily_revenue[[#This Row],[Order_Date]])</f>
        <v>2025</v>
      </c>
      <c r="F406">
        <f>MONTH(agg_orders_daily_revenue[[#This Row],[Order_Date]])</f>
        <v>2</v>
      </c>
      <c r="G406" t="str">
        <f>TEXT(agg_orders_daily_revenue[[#This Row],[Order_Date]],"yyyy-mm")</f>
        <v>2025-02</v>
      </c>
      <c r="H406">
        <f>WEEKDAY(agg_orders_daily_revenue[[#This Row],[Order_Date]],2)</f>
        <v>6</v>
      </c>
      <c r="I406" t="str">
        <f>IF(OR(agg_orders_daily_revenue[[#This Row],[Weekday_Num]]=6, agg_orders_daily_revenue[[#This Row],[Weekday_Num]]=7), "Weekend", "Weekday")</f>
        <v>Weekend</v>
      </c>
      <c r="J406" t="str">
        <f>TEXT(agg_orders_daily_revenue[[#This Row],[Order_Date]], "ddd")</f>
        <v>Sat</v>
      </c>
    </row>
    <row r="407" spans="1:10" x14ac:dyDescent="0.4">
      <c r="A407" s="1">
        <v>45697</v>
      </c>
      <c r="B407">
        <v>525137</v>
      </c>
      <c r="C407">
        <v>520105.14</v>
      </c>
      <c r="D407">
        <v>423</v>
      </c>
      <c r="E407">
        <f>YEAR(agg_orders_daily_revenue[[#This Row],[Order_Date]])</f>
        <v>2025</v>
      </c>
      <c r="F407">
        <f>MONTH(agg_orders_daily_revenue[[#This Row],[Order_Date]])</f>
        <v>2</v>
      </c>
      <c r="G407" t="str">
        <f>TEXT(agg_orders_daily_revenue[[#This Row],[Order_Date]],"yyyy-mm")</f>
        <v>2025-02</v>
      </c>
      <c r="H407">
        <f>WEEKDAY(agg_orders_daily_revenue[[#This Row],[Order_Date]],2)</f>
        <v>7</v>
      </c>
      <c r="I407" t="str">
        <f>IF(OR(agg_orders_daily_revenue[[#This Row],[Weekday_Num]]=6, agg_orders_daily_revenue[[#This Row],[Weekday_Num]]=7), "Weekend", "Weekday")</f>
        <v>Weekend</v>
      </c>
      <c r="J407" t="str">
        <f>TEXT(agg_orders_daily_revenue[[#This Row],[Order_Date]], "ddd")</f>
        <v>Sun</v>
      </c>
    </row>
    <row r="408" spans="1:10" x14ac:dyDescent="0.4">
      <c r="A408" s="1">
        <v>45698</v>
      </c>
      <c r="B408">
        <v>556444</v>
      </c>
      <c r="C408">
        <v>526141.29</v>
      </c>
      <c r="D408">
        <v>415</v>
      </c>
      <c r="E408">
        <f>YEAR(agg_orders_daily_revenue[[#This Row],[Order_Date]])</f>
        <v>2025</v>
      </c>
      <c r="F408">
        <f>MONTH(agg_orders_daily_revenue[[#This Row],[Order_Date]])</f>
        <v>2</v>
      </c>
      <c r="G408" t="str">
        <f>TEXT(agg_orders_daily_revenue[[#This Row],[Order_Date]],"yyyy-mm")</f>
        <v>2025-02</v>
      </c>
      <c r="H408">
        <f>WEEKDAY(agg_orders_daily_revenue[[#This Row],[Order_Date]],2)</f>
        <v>1</v>
      </c>
      <c r="I408" t="str">
        <f>IF(OR(agg_orders_daily_revenue[[#This Row],[Weekday_Num]]=6, agg_orders_daily_revenue[[#This Row],[Weekday_Num]]=7), "Weekend", "Weekday")</f>
        <v>Weekday</v>
      </c>
      <c r="J408" t="str">
        <f>TEXT(agg_orders_daily_revenue[[#This Row],[Order_Date]], "ddd")</f>
        <v>Mon</v>
      </c>
    </row>
    <row r="409" spans="1:10" x14ac:dyDescent="0.4">
      <c r="A409" s="1">
        <v>45699</v>
      </c>
      <c r="B409">
        <v>493098</v>
      </c>
      <c r="C409">
        <v>513006.29</v>
      </c>
      <c r="D409">
        <v>421</v>
      </c>
      <c r="E409">
        <f>YEAR(agg_orders_daily_revenue[[#This Row],[Order_Date]])</f>
        <v>2025</v>
      </c>
      <c r="F409">
        <f>MONTH(agg_orders_daily_revenue[[#This Row],[Order_Date]])</f>
        <v>2</v>
      </c>
      <c r="G409" t="str">
        <f>TEXT(agg_orders_daily_revenue[[#This Row],[Order_Date]],"yyyy-mm")</f>
        <v>2025-02</v>
      </c>
      <c r="H409">
        <f>WEEKDAY(agg_orders_daily_revenue[[#This Row],[Order_Date]],2)</f>
        <v>2</v>
      </c>
      <c r="I409" t="str">
        <f>IF(OR(agg_orders_daily_revenue[[#This Row],[Weekday_Num]]=6, agg_orders_daily_revenue[[#This Row],[Weekday_Num]]=7), "Weekend", "Weekday")</f>
        <v>Weekday</v>
      </c>
      <c r="J409" t="str">
        <f>TEXT(agg_orders_daily_revenue[[#This Row],[Order_Date]], "ddd")</f>
        <v>Tue</v>
      </c>
    </row>
    <row r="410" spans="1:10" x14ac:dyDescent="0.4">
      <c r="A410" s="1">
        <v>45700</v>
      </c>
      <c r="B410">
        <v>490128</v>
      </c>
      <c r="C410">
        <v>509475.14</v>
      </c>
      <c r="D410">
        <v>395</v>
      </c>
      <c r="E410">
        <f>YEAR(agg_orders_daily_revenue[[#This Row],[Order_Date]])</f>
        <v>2025</v>
      </c>
      <c r="F410">
        <f>MONTH(agg_orders_daily_revenue[[#This Row],[Order_Date]])</f>
        <v>2</v>
      </c>
      <c r="G410" t="str">
        <f>TEXT(agg_orders_daily_revenue[[#This Row],[Order_Date]],"yyyy-mm")</f>
        <v>2025-02</v>
      </c>
      <c r="H410">
        <f>WEEKDAY(agg_orders_daily_revenue[[#This Row],[Order_Date]],2)</f>
        <v>3</v>
      </c>
      <c r="I410" t="str">
        <f>IF(OR(agg_orders_daily_revenue[[#This Row],[Weekday_Num]]=6, agg_orders_daily_revenue[[#This Row],[Weekday_Num]]=7), "Weekend", "Weekday")</f>
        <v>Weekday</v>
      </c>
      <c r="J410" t="str">
        <f>TEXT(agg_orders_daily_revenue[[#This Row],[Order_Date]], "ddd")</f>
        <v>Wed</v>
      </c>
    </row>
    <row r="411" spans="1:10" x14ac:dyDescent="0.4">
      <c r="A411" s="1">
        <v>45701</v>
      </c>
      <c r="B411">
        <v>538813</v>
      </c>
      <c r="C411">
        <v>514573.86</v>
      </c>
      <c r="D411">
        <v>424</v>
      </c>
      <c r="E411">
        <f>YEAR(agg_orders_daily_revenue[[#This Row],[Order_Date]])</f>
        <v>2025</v>
      </c>
      <c r="F411">
        <f>MONTH(agg_orders_daily_revenue[[#This Row],[Order_Date]])</f>
        <v>2</v>
      </c>
      <c r="G411" t="str">
        <f>TEXT(agg_orders_daily_revenue[[#This Row],[Order_Date]],"yyyy-mm")</f>
        <v>2025-02</v>
      </c>
      <c r="H411">
        <f>WEEKDAY(agg_orders_daily_revenue[[#This Row],[Order_Date]],2)</f>
        <v>4</v>
      </c>
      <c r="I411" t="str">
        <f>IF(OR(agg_orders_daily_revenue[[#This Row],[Weekday_Num]]=6, agg_orders_daily_revenue[[#This Row],[Weekday_Num]]=7), "Weekend", "Weekday")</f>
        <v>Weekday</v>
      </c>
      <c r="J411" t="str">
        <f>TEXT(agg_orders_daily_revenue[[#This Row],[Order_Date]], "ddd")</f>
        <v>Thu</v>
      </c>
    </row>
    <row r="412" spans="1:10" x14ac:dyDescent="0.4">
      <c r="A412" s="1">
        <v>45702</v>
      </c>
      <c r="B412">
        <v>494034</v>
      </c>
      <c r="C412">
        <v>512958.71</v>
      </c>
      <c r="D412">
        <v>406</v>
      </c>
      <c r="E412">
        <f>YEAR(agg_orders_daily_revenue[[#This Row],[Order_Date]])</f>
        <v>2025</v>
      </c>
      <c r="F412">
        <f>MONTH(agg_orders_daily_revenue[[#This Row],[Order_Date]])</f>
        <v>2</v>
      </c>
      <c r="G412" t="str">
        <f>TEXT(agg_orders_daily_revenue[[#This Row],[Order_Date]],"yyyy-mm")</f>
        <v>2025-02</v>
      </c>
      <c r="H412">
        <f>WEEKDAY(agg_orders_daily_revenue[[#This Row],[Order_Date]],2)</f>
        <v>5</v>
      </c>
      <c r="I412" t="str">
        <f>IF(OR(agg_orders_daily_revenue[[#This Row],[Weekday_Num]]=6, agg_orders_daily_revenue[[#This Row],[Weekday_Num]]=7), "Weekend", "Weekday")</f>
        <v>Weekday</v>
      </c>
      <c r="J412" t="str">
        <f>TEXT(agg_orders_daily_revenue[[#This Row],[Order_Date]], "ddd")</f>
        <v>Fri</v>
      </c>
    </row>
    <row r="413" spans="1:10" x14ac:dyDescent="0.4">
      <c r="A413" s="1">
        <v>45703</v>
      </c>
      <c r="B413">
        <v>527139</v>
      </c>
      <c r="C413">
        <v>517827.57</v>
      </c>
      <c r="D413">
        <v>403</v>
      </c>
      <c r="E413">
        <f>YEAR(agg_orders_daily_revenue[[#This Row],[Order_Date]])</f>
        <v>2025</v>
      </c>
      <c r="F413">
        <f>MONTH(agg_orders_daily_revenue[[#This Row],[Order_Date]])</f>
        <v>2</v>
      </c>
      <c r="G413" t="str">
        <f>TEXT(agg_orders_daily_revenue[[#This Row],[Order_Date]],"yyyy-mm")</f>
        <v>2025-02</v>
      </c>
      <c r="H413">
        <f>WEEKDAY(agg_orders_daily_revenue[[#This Row],[Order_Date]],2)</f>
        <v>6</v>
      </c>
      <c r="I413" t="str">
        <f>IF(OR(agg_orders_daily_revenue[[#This Row],[Weekday_Num]]=6, agg_orders_daily_revenue[[#This Row],[Weekday_Num]]=7), "Weekend", "Weekday")</f>
        <v>Weekend</v>
      </c>
      <c r="J413" t="str">
        <f>TEXT(agg_orders_daily_revenue[[#This Row],[Order_Date]], "ddd")</f>
        <v>Sat</v>
      </c>
    </row>
    <row r="414" spans="1:10" x14ac:dyDescent="0.4">
      <c r="A414" s="1">
        <v>45704</v>
      </c>
      <c r="B414">
        <v>518427</v>
      </c>
      <c r="C414">
        <v>516869</v>
      </c>
      <c r="D414">
        <v>404</v>
      </c>
      <c r="E414">
        <f>YEAR(agg_orders_daily_revenue[[#This Row],[Order_Date]])</f>
        <v>2025</v>
      </c>
      <c r="F414">
        <f>MONTH(agg_orders_daily_revenue[[#This Row],[Order_Date]])</f>
        <v>2</v>
      </c>
      <c r="G414" t="str">
        <f>TEXT(agg_orders_daily_revenue[[#This Row],[Order_Date]],"yyyy-mm")</f>
        <v>2025-02</v>
      </c>
      <c r="H414">
        <f>WEEKDAY(agg_orders_daily_revenue[[#This Row],[Order_Date]],2)</f>
        <v>7</v>
      </c>
      <c r="I414" t="str">
        <f>IF(OR(agg_orders_daily_revenue[[#This Row],[Weekday_Num]]=6, agg_orders_daily_revenue[[#This Row],[Weekday_Num]]=7), "Weekend", "Weekday")</f>
        <v>Weekend</v>
      </c>
      <c r="J414" t="str">
        <f>TEXT(agg_orders_daily_revenue[[#This Row],[Order_Date]], "ddd")</f>
        <v>Sun</v>
      </c>
    </row>
    <row r="415" spans="1:10" x14ac:dyDescent="0.4">
      <c r="A415" s="1">
        <v>45705</v>
      </c>
      <c r="B415">
        <v>500071</v>
      </c>
      <c r="C415">
        <v>508815.71</v>
      </c>
      <c r="D415">
        <v>398</v>
      </c>
      <c r="E415">
        <f>YEAR(agg_orders_daily_revenue[[#This Row],[Order_Date]])</f>
        <v>2025</v>
      </c>
      <c r="F415">
        <f>MONTH(agg_orders_daily_revenue[[#This Row],[Order_Date]])</f>
        <v>2</v>
      </c>
      <c r="G415" t="str">
        <f>TEXT(agg_orders_daily_revenue[[#This Row],[Order_Date]],"yyyy-mm")</f>
        <v>2025-02</v>
      </c>
      <c r="H415">
        <f>WEEKDAY(agg_orders_daily_revenue[[#This Row],[Order_Date]],2)</f>
        <v>1</v>
      </c>
      <c r="I415" t="str">
        <f>IF(OR(agg_orders_daily_revenue[[#This Row],[Weekday_Num]]=6, agg_orders_daily_revenue[[#This Row],[Weekday_Num]]=7), "Weekend", "Weekday")</f>
        <v>Weekday</v>
      </c>
      <c r="J415" t="str">
        <f>TEXT(agg_orders_daily_revenue[[#This Row],[Order_Date]], "ddd")</f>
        <v>Mon</v>
      </c>
    </row>
    <row r="416" spans="1:10" x14ac:dyDescent="0.4">
      <c r="A416" s="1">
        <v>45706</v>
      </c>
      <c r="B416">
        <v>439316</v>
      </c>
      <c r="C416">
        <v>501132.57</v>
      </c>
      <c r="D416">
        <v>368</v>
      </c>
      <c r="E416">
        <f>YEAR(agg_orders_daily_revenue[[#This Row],[Order_Date]])</f>
        <v>2025</v>
      </c>
      <c r="F416">
        <f>MONTH(agg_orders_daily_revenue[[#This Row],[Order_Date]])</f>
        <v>2</v>
      </c>
      <c r="G416" t="str">
        <f>TEXT(agg_orders_daily_revenue[[#This Row],[Order_Date]],"yyyy-mm")</f>
        <v>2025-02</v>
      </c>
      <c r="H416">
        <f>WEEKDAY(agg_orders_daily_revenue[[#This Row],[Order_Date]],2)</f>
        <v>2</v>
      </c>
      <c r="I416" t="str">
        <f>IF(OR(agg_orders_daily_revenue[[#This Row],[Weekday_Num]]=6, agg_orders_daily_revenue[[#This Row],[Weekday_Num]]=7), "Weekend", "Weekday")</f>
        <v>Weekday</v>
      </c>
      <c r="J416" t="str">
        <f>TEXT(agg_orders_daily_revenue[[#This Row],[Order_Date]], "ddd")</f>
        <v>Tue</v>
      </c>
    </row>
    <row r="417" spans="1:10" x14ac:dyDescent="0.4">
      <c r="A417" s="1">
        <v>45707</v>
      </c>
      <c r="B417">
        <v>521033</v>
      </c>
      <c r="C417">
        <v>505547.57</v>
      </c>
      <c r="D417">
        <v>413</v>
      </c>
      <c r="E417">
        <f>YEAR(agg_orders_daily_revenue[[#This Row],[Order_Date]])</f>
        <v>2025</v>
      </c>
      <c r="F417">
        <f>MONTH(agg_orders_daily_revenue[[#This Row],[Order_Date]])</f>
        <v>2</v>
      </c>
      <c r="G417" t="str">
        <f>TEXT(agg_orders_daily_revenue[[#This Row],[Order_Date]],"yyyy-mm")</f>
        <v>2025-02</v>
      </c>
      <c r="H417">
        <f>WEEKDAY(agg_orders_daily_revenue[[#This Row],[Order_Date]],2)</f>
        <v>3</v>
      </c>
      <c r="I417" t="str">
        <f>IF(OR(agg_orders_daily_revenue[[#This Row],[Weekday_Num]]=6, agg_orders_daily_revenue[[#This Row],[Weekday_Num]]=7), "Weekend", "Weekday")</f>
        <v>Weekday</v>
      </c>
      <c r="J417" t="str">
        <f>TEXT(agg_orders_daily_revenue[[#This Row],[Order_Date]], "ddd")</f>
        <v>Wed</v>
      </c>
    </row>
    <row r="418" spans="1:10" x14ac:dyDescent="0.4">
      <c r="A418" s="1">
        <v>45708</v>
      </c>
      <c r="B418">
        <v>558096</v>
      </c>
      <c r="C418">
        <v>508302.29</v>
      </c>
      <c r="D418">
        <v>436</v>
      </c>
      <c r="E418">
        <f>YEAR(agg_orders_daily_revenue[[#This Row],[Order_Date]])</f>
        <v>2025</v>
      </c>
      <c r="F418">
        <f>MONTH(agg_orders_daily_revenue[[#This Row],[Order_Date]])</f>
        <v>2</v>
      </c>
      <c r="G418" t="str">
        <f>TEXT(agg_orders_daily_revenue[[#This Row],[Order_Date]],"yyyy-mm")</f>
        <v>2025-02</v>
      </c>
      <c r="H418">
        <f>WEEKDAY(agg_orders_daily_revenue[[#This Row],[Order_Date]],2)</f>
        <v>4</v>
      </c>
      <c r="I418" t="str">
        <f>IF(OR(agg_orders_daily_revenue[[#This Row],[Weekday_Num]]=6, agg_orders_daily_revenue[[#This Row],[Weekday_Num]]=7), "Weekend", "Weekday")</f>
        <v>Weekday</v>
      </c>
      <c r="J418" t="str">
        <f>TEXT(agg_orders_daily_revenue[[#This Row],[Order_Date]], "ddd")</f>
        <v>Thu</v>
      </c>
    </row>
    <row r="419" spans="1:10" x14ac:dyDescent="0.4">
      <c r="A419" s="1">
        <v>45709</v>
      </c>
      <c r="B419">
        <v>506210</v>
      </c>
      <c r="C419">
        <v>510041.71</v>
      </c>
      <c r="D419">
        <v>402</v>
      </c>
      <c r="E419">
        <f>YEAR(agg_orders_daily_revenue[[#This Row],[Order_Date]])</f>
        <v>2025</v>
      </c>
      <c r="F419">
        <f>MONTH(agg_orders_daily_revenue[[#This Row],[Order_Date]])</f>
        <v>2</v>
      </c>
      <c r="G419" t="str">
        <f>TEXT(agg_orders_daily_revenue[[#This Row],[Order_Date]],"yyyy-mm")</f>
        <v>2025-02</v>
      </c>
      <c r="H419">
        <f>WEEKDAY(agg_orders_daily_revenue[[#This Row],[Order_Date]],2)</f>
        <v>5</v>
      </c>
      <c r="I419" t="str">
        <f>IF(OR(agg_orders_daily_revenue[[#This Row],[Weekday_Num]]=6, agg_orders_daily_revenue[[#This Row],[Weekday_Num]]=7), "Weekend", "Weekday")</f>
        <v>Weekday</v>
      </c>
      <c r="J419" t="str">
        <f>TEXT(agg_orders_daily_revenue[[#This Row],[Order_Date]], "ddd")</f>
        <v>Fri</v>
      </c>
    </row>
    <row r="420" spans="1:10" x14ac:dyDescent="0.4">
      <c r="A420" s="1">
        <v>45710</v>
      </c>
      <c r="B420">
        <v>440095</v>
      </c>
      <c r="C420">
        <v>497606.86</v>
      </c>
      <c r="D420">
        <v>344</v>
      </c>
      <c r="E420">
        <f>YEAR(agg_orders_daily_revenue[[#This Row],[Order_Date]])</f>
        <v>2025</v>
      </c>
      <c r="F420">
        <f>MONTH(agg_orders_daily_revenue[[#This Row],[Order_Date]])</f>
        <v>2</v>
      </c>
      <c r="G420" t="str">
        <f>TEXT(agg_orders_daily_revenue[[#This Row],[Order_Date]],"yyyy-mm")</f>
        <v>2025-02</v>
      </c>
      <c r="H420">
        <f>WEEKDAY(agg_orders_daily_revenue[[#This Row],[Order_Date]],2)</f>
        <v>6</v>
      </c>
      <c r="I420" t="str">
        <f>IF(OR(agg_orders_daily_revenue[[#This Row],[Weekday_Num]]=6, agg_orders_daily_revenue[[#This Row],[Weekday_Num]]=7), "Weekend", "Weekday")</f>
        <v>Weekend</v>
      </c>
      <c r="J420" t="str">
        <f>TEXT(agg_orders_daily_revenue[[#This Row],[Order_Date]], "ddd")</f>
        <v>Sat</v>
      </c>
    </row>
    <row r="421" spans="1:10" x14ac:dyDescent="0.4">
      <c r="A421" s="1">
        <v>45711</v>
      </c>
      <c r="B421">
        <v>501278</v>
      </c>
      <c r="C421">
        <v>495157</v>
      </c>
      <c r="D421">
        <v>389</v>
      </c>
      <c r="E421">
        <f>YEAR(agg_orders_daily_revenue[[#This Row],[Order_Date]])</f>
        <v>2025</v>
      </c>
      <c r="F421">
        <f>MONTH(agg_orders_daily_revenue[[#This Row],[Order_Date]])</f>
        <v>2</v>
      </c>
      <c r="G421" t="str">
        <f>TEXT(agg_orders_daily_revenue[[#This Row],[Order_Date]],"yyyy-mm")</f>
        <v>2025-02</v>
      </c>
      <c r="H421">
        <f>WEEKDAY(agg_orders_daily_revenue[[#This Row],[Order_Date]],2)</f>
        <v>7</v>
      </c>
      <c r="I421" t="str">
        <f>IF(OR(agg_orders_daily_revenue[[#This Row],[Weekday_Num]]=6, agg_orders_daily_revenue[[#This Row],[Weekday_Num]]=7), "Weekend", "Weekday")</f>
        <v>Weekend</v>
      </c>
      <c r="J421" t="str">
        <f>TEXT(agg_orders_daily_revenue[[#This Row],[Order_Date]], "ddd")</f>
        <v>Sun</v>
      </c>
    </row>
    <row r="422" spans="1:10" x14ac:dyDescent="0.4">
      <c r="A422" s="1">
        <v>45712</v>
      </c>
      <c r="B422">
        <v>555432</v>
      </c>
      <c r="C422">
        <v>503065.71</v>
      </c>
      <c r="D422">
        <v>442</v>
      </c>
      <c r="E422">
        <f>YEAR(agg_orders_daily_revenue[[#This Row],[Order_Date]])</f>
        <v>2025</v>
      </c>
      <c r="F422">
        <f>MONTH(agg_orders_daily_revenue[[#This Row],[Order_Date]])</f>
        <v>2</v>
      </c>
      <c r="G422" t="str">
        <f>TEXT(agg_orders_daily_revenue[[#This Row],[Order_Date]],"yyyy-mm")</f>
        <v>2025-02</v>
      </c>
      <c r="H422">
        <f>WEEKDAY(agg_orders_daily_revenue[[#This Row],[Order_Date]],2)</f>
        <v>1</v>
      </c>
      <c r="I422" t="str">
        <f>IF(OR(agg_orders_daily_revenue[[#This Row],[Weekday_Num]]=6, agg_orders_daily_revenue[[#This Row],[Weekday_Num]]=7), "Weekend", "Weekday")</f>
        <v>Weekday</v>
      </c>
      <c r="J422" t="str">
        <f>TEXT(agg_orders_daily_revenue[[#This Row],[Order_Date]], "ddd")</f>
        <v>Mon</v>
      </c>
    </row>
    <row r="423" spans="1:10" x14ac:dyDescent="0.4">
      <c r="A423" s="1">
        <v>45713</v>
      </c>
      <c r="B423">
        <v>519998</v>
      </c>
      <c r="C423">
        <v>514591.71</v>
      </c>
      <c r="D423">
        <v>438</v>
      </c>
      <c r="E423">
        <f>YEAR(agg_orders_daily_revenue[[#This Row],[Order_Date]])</f>
        <v>2025</v>
      </c>
      <c r="F423">
        <f>MONTH(agg_orders_daily_revenue[[#This Row],[Order_Date]])</f>
        <v>2</v>
      </c>
      <c r="G423" t="str">
        <f>TEXT(agg_orders_daily_revenue[[#This Row],[Order_Date]],"yyyy-mm")</f>
        <v>2025-02</v>
      </c>
      <c r="H423">
        <f>WEEKDAY(agg_orders_daily_revenue[[#This Row],[Order_Date]],2)</f>
        <v>2</v>
      </c>
      <c r="I423" t="str">
        <f>IF(OR(agg_orders_daily_revenue[[#This Row],[Weekday_Num]]=6, agg_orders_daily_revenue[[#This Row],[Weekday_Num]]=7), "Weekend", "Weekday")</f>
        <v>Weekday</v>
      </c>
      <c r="J423" t="str">
        <f>TEXT(agg_orders_daily_revenue[[#This Row],[Order_Date]], "ddd")</f>
        <v>Tue</v>
      </c>
    </row>
    <row r="424" spans="1:10" x14ac:dyDescent="0.4">
      <c r="A424" s="1">
        <v>45714</v>
      </c>
      <c r="B424">
        <v>555366</v>
      </c>
      <c r="C424">
        <v>519496.43</v>
      </c>
      <c r="D424">
        <v>457</v>
      </c>
      <c r="E424">
        <f>YEAR(agg_orders_daily_revenue[[#This Row],[Order_Date]])</f>
        <v>2025</v>
      </c>
      <c r="F424">
        <f>MONTH(agg_orders_daily_revenue[[#This Row],[Order_Date]])</f>
        <v>2</v>
      </c>
      <c r="G424" t="str">
        <f>TEXT(agg_orders_daily_revenue[[#This Row],[Order_Date]],"yyyy-mm")</f>
        <v>2025-02</v>
      </c>
      <c r="H424">
        <f>WEEKDAY(agg_orders_daily_revenue[[#This Row],[Order_Date]],2)</f>
        <v>3</v>
      </c>
      <c r="I424" t="str">
        <f>IF(OR(agg_orders_daily_revenue[[#This Row],[Weekday_Num]]=6, agg_orders_daily_revenue[[#This Row],[Weekday_Num]]=7), "Weekend", "Weekday")</f>
        <v>Weekday</v>
      </c>
      <c r="J424" t="str">
        <f>TEXT(agg_orders_daily_revenue[[#This Row],[Order_Date]], "ddd")</f>
        <v>Wed</v>
      </c>
    </row>
    <row r="425" spans="1:10" x14ac:dyDescent="0.4">
      <c r="A425" s="1">
        <v>45715</v>
      </c>
      <c r="B425">
        <v>472330</v>
      </c>
      <c r="C425">
        <v>507244.14</v>
      </c>
      <c r="D425">
        <v>377</v>
      </c>
      <c r="E425">
        <f>YEAR(agg_orders_daily_revenue[[#This Row],[Order_Date]])</f>
        <v>2025</v>
      </c>
      <c r="F425">
        <f>MONTH(agg_orders_daily_revenue[[#This Row],[Order_Date]])</f>
        <v>2</v>
      </c>
      <c r="G425" t="str">
        <f>TEXT(agg_orders_daily_revenue[[#This Row],[Order_Date]],"yyyy-mm")</f>
        <v>2025-02</v>
      </c>
      <c r="H425">
        <f>WEEKDAY(agg_orders_daily_revenue[[#This Row],[Order_Date]],2)</f>
        <v>4</v>
      </c>
      <c r="I425" t="str">
        <f>IF(OR(agg_orders_daily_revenue[[#This Row],[Weekday_Num]]=6, agg_orders_daily_revenue[[#This Row],[Weekday_Num]]=7), "Weekend", "Weekday")</f>
        <v>Weekday</v>
      </c>
      <c r="J425" t="str">
        <f>TEXT(agg_orders_daily_revenue[[#This Row],[Order_Date]], "ddd")</f>
        <v>Thu</v>
      </c>
    </row>
    <row r="426" spans="1:10" x14ac:dyDescent="0.4">
      <c r="A426" s="1">
        <v>45716</v>
      </c>
      <c r="B426">
        <v>535730</v>
      </c>
      <c r="C426">
        <v>511461.29</v>
      </c>
      <c r="D426">
        <v>434</v>
      </c>
      <c r="E426">
        <f>YEAR(agg_orders_daily_revenue[[#This Row],[Order_Date]])</f>
        <v>2025</v>
      </c>
      <c r="F426">
        <f>MONTH(agg_orders_daily_revenue[[#This Row],[Order_Date]])</f>
        <v>2</v>
      </c>
      <c r="G426" t="str">
        <f>TEXT(agg_orders_daily_revenue[[#This Row],[Order_Date]],"yyyy-mm")</f>
        <v>2025-02</v>
      </c>
      <c r="H426">
        <f>WEEKDAY(agg_orders_daily_revenue[[#This Row],[Order_Date]],2)</f>
        <v>5</v>
      </c>
      <c r="I426" t="str">
        <f>IF(OR(agg_orders_daily_revenue[[#This Row],[Weekday_Num]]=6, agg_orders_daily_revenue[[#This Row],[Weekday_Num]]=7), "Weekend", "Weekday")</f>
        <v>Weekday</v>
      </c>
      <c r="J426" t="str">
        <f>TEXT(agg_orders_daily_revenue[[#This Row],[Order_Date]], "ddd")</f>
        <v>Fri</v>
      </c>
    </row>
    <row r="427" spans="1:10" x14ac:dyDescent="0.4">
      <c r="A427" s="1">
        <v>45717</v>
      </c>
      <c r="B427">
        <v>470788</v>
      </c>
      <c r="C427">
        <v>515846</v>
      </c>
      <c r="D427">
        <v>405</v>
      </c>
      <c r="E427">
        <f>YEAR(agg_orders_daily_revenue[[#This Row],[Order_Date]])</f>
        <v>2025</v>
      </c>
      <c r="F427">
        <f>MONTH(agg_orders_daily_revenue[[#This Row],[Order_Date]])</f>
        <v>3</v>
      </c>
      <c r="G427" t="str">
        <f>TEXT(agg_orders_daily_revenue[[#This Row],[Order_Date]],"yyyy-mm")</f>
        <v>2025-03</v>
      </c>
      <c r="H427">
        <f>WEEKDAY(agg_orders_daily_revenue[[#This Row],[Order_Date]],2)</f>
        <v>6</v>
      </c>
      <c r="I427" t="str">
        <f>IF(OR(agg_orders_daily_revenue[[#This Row],[Weekday_Num]]=6, agg_orders_daily_revenue[[#This Row],[Weekday_Num]]=7), "Weekend", "Weekday")</f>
        <v>Weekend</v>
      </c>
      <c r="J427" t="str">
        <f>TEXT(agg_orders_daily_revenue[[#This Row],[Order_Date]], "ddd")</f>
        <v>Sat</v>
      </c>
    </row>
    <row r="428" spans="1:10" x14ac:dyDescent="0.4">
      <c r="A428" s="1">
        <v>45718</v>
      </c>
      <c r="B428">
        <v>532517</v>
      </c>
      <c r="C428">
        <v>520308.71</v>
      </c>
      <c r="D428">
        <v>422</v>
      </c>
      <c r="E428">
        <f>YEAR(agg_orders_daily_revenue[[#This Row],[Order_Date]])</f>
        <v>2025</v>
      </c>
      <c r="F428">
        <f>MONTH(agg_orders_daily_revenue[[#This Row],[Order_Date]])</f>
        <v>3</v>
      </c>
      <c r="G428" t="str">
        <f>TEXT(agg_orders_daily_revenue[[#This Row],[Order_Date]],"yyyy-mm")</f>
        <v>2025-03</v>
      </c>
      <c r="H428">
        <f>WEEKDAY(agg_orders_daily_revenue[[#This Row],[Order_Date]],2)</f>
        <v>7</v>
      </c>
      <c r="I428" t="str">
        <f>IF(OR(agg_orders_daily_revenue[[#This Row],[Weekday_Num]]=6, agg_orders_daily_revenue[[#This Row],[Weekday_Num]]=7), "Weekend", "Weekday")</f>
        <v>Weekend</v>
      </c>
      <c r="J428" t="str">
        <f>TEXT(agg_orders_daily_revenue[[#This Row],[Order_Date]], "ddd")</f>
        <v>Sun</v>
      </c>
    </row>
    <row r="429" spans="1:10" x14ac:dyDescent="0.4">
      <c r="A429" s="1">
        <v>45719</v>
      </c>
      <c r="B429">
        <v>489096</v>
      </c>
      <c r="C429">
        <v>510832.14</v>
      </c>
      <c r="D429">
        <v>410</v>
      </c>
      <c r="E429">
        <f>YEAR(agg_orders_daily_revenue[[#This Row],[Order_Date]])</f>
        <v>2025</v>
      </c>
      <c r="F429">
        <f>MONTH(agg_orders_daily_revenue[[#This Row],[Order_Date]])</f>
        <v>3</v>
      </c>
      <c r="G429" t="str">
        <f>TEXT(agg_orders_daily_revenue[[#This Row],[Order_Date]],"yyyy-mm")</f>
        <v>2025-03</v>
      </c>
      <c r="H429">
        <f>WEEKDAY(agg_orders_daily_revenue[[#This Row],[Order_Date]],2)</f>
        <v>1</v>
      </c>
      <c r="I429" t="str">
        <f>IF(OR(agg_orders_daily_revenue[[#This Row],[Weekday_Num]]=6, agg_orders_daily_revenue[[#This Row],[Weekday_Num]]=7), "Weekend", "Weekday")</f>
        <v>Weekday</v>
      </c>
      <c r="J429" t="str">
        <f>TEXT(agg_orders_daily_revenue[[#This Row],[Order_Date]], "ddd")</f>
        <v>Mon</v>
      </c>
    </row>
    <row r="430" spans="1:10" x14ac:dyDescent="0.4">
      <c r="A430" s="1">
        <v>45720</v>
      </c>
      <c r="B430">
        <v>540772</v>
      </c>
      <c r="C430">
        <v>513799.86</v>
      </c>
      <c r="D430">
        <v>414</v>
      </c>
      <c r="E430">
        <f>YEAR(agg_orders_daily_revenue[[#This Row],[Order_Date]])</f>
        <v>2025</v>
      </c>
      <c r="F430">
        <f>MONTH(agg_orders_daily_revenue[[#This Row],[Order_Date]])</f>
        <v>3</v>
      </c>
      <c r="G430" t="str">
        <f>TEXT(agg_orders_daily_revenue[[#This Row],[Order_Date]],"yyyy-mm")</f>
        <v>2025-03</v>
      </c>
      <c r="H430">
        <f>WEEKDAY(agg_orders_daily_revenue[[#This Row],[Order_Date]],2)</f>
        <v>2</v>
      </c>
      <c r="I430" t="str">
        <f>IF(OR(agg_orders_daily_revenue[[#This Row],[Weekday_Num]]=6, agg_orders_daily_revenue[[#This Row],[Weekday_Num]]=7), "Weekend", "Weekday")</f>
        <v>Weekday</v>
      </c>
      <c r="J430" t="str">
        <f>TEXT(agg_orders_daily_revenue[[#This Row],[Order_Date]], "ddd")</f>
        <v>Tue</v>
      </c>
    </row>
    <row r="431" spans="1:10" x14ac:dyDescent="0.4">
      <c r="A431" s="1">
        <v>45721</v>
      </c>
      <c r="B431">
        <v>528772</v>
      </c>
      <c r="C431">
        <v>510000.71</v>
      </c>
      <c r="D431">
        <v>439</v>
      </c>
      <c r="E431">
        <f>YEAR(agg_orders_daily_revenue[[#This Row],[Order_Date]])</f>
        <v>2025</v>
      </c>
      <c r="F431">
        <f>MONTH(agg_orders_daily_revenue[[#This Row],[Order_Date]])</f>
        <v>3</v>
      </c>
      <c r="G431" t="str">
        <f>TEXT(agg_orders_daily_revenue[[#This Row],[Order_Date]],"yyyy-mm")</f>
        <v>2025-03</v>
      </c>
      <c r="H431">
        <f>WEEKDAY(agg_orders_daily_revenue[[#This Row],[Order_Date]],2)</f>
        <v>3</v>
      </c>
      <c r="I431" t="str">
        <f>IF(OR(agg_orders_daily_revenue[[#This Row],[Weekday_Num]]=6, agg_orders_daily_revenue[[#This Row],[Weekday_Num]]=7), "Weekend", "Weekday")</f>
        <v>Weekday</v>
      </c>
      <c r="J431" t="str">
        <f>TEXT(agg_orders_daily_revenue[[#This Row],[Order_Date]], "ddd")</f>
        <v>Wed</v>
      </c>
    </row>
    <row r="432" spans="1:10" x14ac:dyDescent="0.4">
      <c r="A432" s="1">
        <v>45722</v>
      </c>
      <c r="B432">
        <v>484586</v>
      </c>
      <c r="C432">
        <v>511751.57</v>
      </c>
      <c r="D432">
        <v>407</v>
      </c>
      <c r="E432">
        <f>YEAR(agg_orders_daily_revenue[[#This Row],[Order_Date]])</f>
        <v>2025</v>
      </c>
      <c r="F432">
        <f>MONTH(agg_orders_daily_revenue[[#This Row],[Order_Date]])</f>
        <v>3</v>
      </c>
      <c r="G432" t="str">
        <f>TEXT(agg_orders_daily_revenue[[#This Row],[Order_Date]],"yyyy-mm")</f>
        <v>2025-03</v>
      </c>
      <c r="H432">
        <f>WEEKDAY(agg_orders_daily_revenue[[#This Row],[Order_Date]],2)</f>
        <v>4</v>
      </c>
      <c r="I432" t="str">
        <f>IF(OR(agg_orders_daily_revenue[[#This Row],[Weekday_Num]]=6, agg_orders_daily_revenue[[#This Row],[Weekday_Num]]=7), "Weekend", "Weekday")</f>
        <v>Weekday</v>
      </c>
      <c r="J432" t="str">
        <f>TEXT(agg_orders_daily_revenue[[#This Row],[Order_Date]], "ddd")</f>
        <v>Thu</v>
      </c>
    </row>
    <row r="433" spans="1:10" x14ac:dyDescent="0.4">
      <c r="A433" s="1">
        <v>45723</v>
      </c>
      <c r="B433">
        <v>494657</v>
      </c>
      <c r="C433">
        <v>505884</v>
      </c>
      <c r="D433">
        <v>403</v>
      </c>
      <c r="E433">
        <f>YEAR(agg_orders_daily_revenue[[#This Row],[Order_Date]])</f>
        <v>2025</v>
      </c>
      <c r="F433">
        <f>MONTH(agg_orders_daily_revenue[[#This Row],[Order_Date]])</f>
        <v>3</v>
      </c>
      <c r="G433" t="str">
        <f>TEXT(agg_orders_daily_revenue[[#This Row],[Order_Date]],"yyyy-mm")</f>
        <v>2025-03</v>
      </c>
      <c r="H433">
        <f>WEEKDAY(agg_orders_daily_revenue[[#This Row],[Order_Date]],2)</f>
        <v>5</v>
      </c>
      <c r="I433" t="str">
        <f>IF(OR(agg_orders_daily_revenue[[#This Row],[Weekday_Num]]=6, agg_orders_daily_revenue[[#This Row],[Weekday_Num]]=7), "Weekend", "Weekday")</f>
        <v>Weekday</v>
      </c>
      <c r="J433" t="str">
        <f>TEXT(agg_orders_daily_revenue[[#This Row],[Order_Date]], "ddd")</f>
        <v>Fri</v>
      </c>
    </row>
    <row r="434" spans="1:10" x14ac:dyDescent="0.4">
      <c r="A434" s="1">
        <v>45724</v>
      </c>
      <c r="B434">
        <v>513825</v>
      </c>
      <c r="C434">
        <v>512032.14</v>
      </c>
      <c r="D434">
        <v>404</v>
      </c>
      <c r="E434">
        <f>YEAR(agg_orders_daily_revenue[[#This Row],[Order_Date]])</f>
        <v>2025</v>
      </c>
      <c r="F434">
        <f>MONTH(agg_orders_daily_revenue[[#This Row],[Order_Date]])</f>
        <v>3</v>
      </c>
      <c r="G434" t="str">
        <f>TEXT(agg_orders_daily_revenue[[#This Row],[Order_Date]],"yyyy-mm")</f>
        <v>2025-03</v>
      </c>
      <c r="H434">
        <f>WEEKDAY(agg_orders_daily_revenue[[#This Row],[Order_Date]],2)</f>
        <v>6</v>
      </c>
      <c r="I434" t="str">
        <f>IF(OR(agg_orders_daily_revenue[[#This Row],[Weekday_Num]]=6, agg_orders_daily_revenue[[#This Row],[Weekday_Num]]=7), "Weekend", "Weekday")</f>
        <v>Weekend</v>
      </c>
      <c r="J434" t="str">
        <f>TEXT(agg_orders_daily_revenue[[#This Row],[Order_Date]], "ddd")</f>
        <v>Sat</v>
      </c>
    </row>
    <row r="435" spans="1:10" x14ac:dyDescent="0.4">
      <c r="A435" s="1">
        <v>45725</v>
      </c>
      <c r="B435">
        <v>495975</v>
      </c>
      <c r="C435">
        <v>506811.86</v>
      </c>
      <c r="D435">
        <v>400</v>
      </c>
      <c r="E435">
        <f>YEAR(agg_orders_daily_revenue[[#This Row],[Order_Date]])</f>
        <v>2025</v>
      </c>
      <c r="F435">
        <f>MONTH(agg_orders_daily_revenue[[#This Row],[Order_Date]])</f>
        <v>3</v>
      </c>
      <c r="G435" t="str">
        <f>TEXT(agg_orders_daily_revenue[[#This Row],[Order_Date]],"yyyy-mm")</f>
        <v>2025-03</v>
      </c>
      <c r="H435">
        <f>WEEKDAY(agg_orders_daily_revenue[[#This Row],[Order_Date]],2)</f>
        <v>7</v>
      </c>
      <c r="I435" t="str">
        <f>IF(OR(agg_orders_daily_revenue[[#This Row],[Weekday_Num]]=6, agg_orders_daily_revenue[[#This Row],[Weekday_Num]]=7), "Weekend", "Weekday")</f>
        <v>Weekend</v>
      </c>
      <c r="J435" t="str">
        <f>TEXT(agg_orders_daily_revenue[[#This Row],[Order_Date]], "ddd")</f>
        <v>Sun</v>
      </c>
    </row>
    <row r="436" spans="1:10" x14ac:dyDescent="0.4">
      <c r="A436" s="1">
        <v>45726</v>
      </c>
      <c r="B436">
        <v>585061</v>
      </c>
      <c r="C436">
        <v>520521.14</v>
      </c>
      <c r="D436">
        <v>460</v>
      </c>
      <c r="E436">
        <f>YEAR(agg_orders_daily_revenue[[#This Row],[Order_Date]])</f>
        <v>2025</v>
      </c>
      <c r="F436">
        <f>MONTH(agg_orders_daily_revenue[[#This Row],[Order_Date]])</f>
        <v>3</v>
      </c>
      <c r="G436" t="str">
        <f>TEXT(agg_orders_daily_revenue[[#This Row],[Order_Date]],"yyyy-mm")</f>
        <v>2025-03</v>
      </c>
      <c r="H436">
        <f>WEEKDAY(agg_orders_daily_revenue[[#This Row],[Order_Date]],2)</f>
        <v>1</v>
      </c>
      <c r="I436" t="str">
        <f>IF(OR(agg_orders_daily_revenue[[#This Row],[Weekday_Num]]=6, agg_orders_daily_revenue[[#This Row],[Weekday_Num]]=7), "Weekend", "Weekday")</f>
        <v>Weekday</v>
      </c>
      <c r="J436" t="str">
        <f>TEXT(agg_orders_daily_revenue[[#This Row],[Order_Date]], "ddd")</f>
        <v>Mon</v>
      </c>
    </row>
    <row r="437" spans="1:10" x14ac:dyDescent="0.4">
      <c r="A437" s="1">
        <v>45727</v>
      </c>
      <c r="B437">
        <v>507459</v>
      </c>
      <c r="C437">
        <v>515762.14</v>
      </c>
      <c r="D437">
        <v>404</v>
      </c>
      <c r="E437">
        <f>YEAR(agg_orders_daily_revenue[[#This Row],[Order_Date]])</f>
        <v>2025</v>
      </c>
      <c r="F437">
        <f>MONTH(agg_orders_daily_revenue[[#This Row],[Order_Date]])</f>
        <v>3</v>
      </c>
      <c r="G437" t="str">
        <f>TEXT(agg_orders_daily_revenue[[#This Row],[Order_Date]],"yyyy-mm")</f>
        <v>2025-03</v>
      </c>
      <c r="H437">
        <f>WEEKDAY(agg_orders_daily_revenue[[#This Row],[Order_Date]],2)</f>
        <v>2</v>
      </c>
      <c r="I437" t="str">
        <f>IF(OR(agg_orders_daily_revenue[[#This Row],[Weekday_Num]]=6, agg_orders_daily_revenue[[#This Row],[Weekday_Num]]=7), "Weekend", "Weekday")</f>
        <v>Weekday</v>
      </c>
      <c r="J437" t="str">
        <f>TEXT(agg_orders_daily_revenue[[#This Row],[Order_Date]], "ddd")</f>
        <v>Tue</v>
      </c>
    </row>
    <row r="438" spans="1:10" x14ac:dyDescent="0.4">
      <c r="A438" s="1">
        <v>45728</v>
      </c>
      <c r="B438">
        <v>545042</v>
      </c>
      <c r="C438">
        <v>518086.43</v>
      </c>
      <c r="D438">
        <v>433</v>
      </c>
      <c r="E438">
        <f>YEAR(agg_orders_daily_revenue[[#This Row],[Order_Date]])</f>
        <v>2025</v>
      </c>
      <c r="F438">
        <f>MONTH(agg_orders_daily_revenue[[#This Row],[Order_Date]])</f>
        <v>3</v>
      </c>
      <c r="G438" t="str">
        <f>TEXT(agg_orders_daily_revenue[[#This Row],[Order_Date]],"yyyy-mm")</f>
        <v>2025-03</v>
      </c>
      <c r="H438">
        <f>WEEKDAY(agg_orders_daily_revenue[[#This Row],[Order_Date]],2)</f>
        <v>3</v>
      </c>
      <c r="I438" t="str">
        <f>IF(OR(agg_orders_daily_revenue[[#This Row],[Weekday_Num]]=6, agg_orders_daily_revenue[[#This Row],[Weekday_Num]]=7), "Weekend", "Weekday")</f>
        <v>Weekday</v>
      </c>
      <c r="J438" t="str">
        <f>TEXT(agg_orders_daily_revenue[[#This Row],[Order_Date]], "ddd")</f>
        <v>Wed</v>
      </c>
    </row>
    <row r="439" spans="1:10" x14ac:dyDescent="0.4">
      <c r="A439" s="1">
        <v>45729</v>
      </c>
      <c r="B439">
        <v>473809</v>
      </c>
      <c r="C439">
        <v>516546.86</v>
      </c>
      <c r="D439">
        <v>386</v>
      </c>
      <c r="E439">
        <f>YEAR(agg_orders_daily_revenue[[#This Row],[Order_Date]])</f>
        <v>2025</v>
      </c>
      <c r="F439">
        <f>MONTH(agg_orders_daily_revenue[[#This Row],[Order_Date]])</f>
        <v>3</v>
      </c>
      <c r="G439" t="str">
        <f>TEXT(agg_orders_daily_revenue[[#This Row],[Order_Date]],"yyyy-mm")</f>
        <v>2025-03</v>
      </c>
      <c r="H439">
        <f>WEEKDAY(agg_orders_daily_revenue[[#This Row],[Order_Date]],2)</f>
        <v>4</v>
      </c>
      <c r="I439" t="str">
        <f>IF(OR(agg_orders_daily_revenue[[#This Row],[Weekday_Num]]=6, agg_orders_daily_revenue[[#This Row],[Weekday_Num]]=7), "Weekend", "Weekday")</f>
        <v>Weekday</v>
      </c>
      <c r="J439" t="str">
        <f>TEXT(agg_orders_daily_revenue[[#This Row],[Order_Date]], "ddd")</f>
        <v>Thu</v>
      </c>
    </row>
    <row r="440" spans="1:10" x14ac:dyDescent="0.4">
      <c r="A440" s="1">
        <v>45730</v>
      </c>
      <c r="B440">
        <v>530590</v>
      </c>
      <c r="C440">
        <v>521680.14</v>
      </c>
      <c r="D440">
        <v>424</v>
      </c>
      <c r="E440">
        <f>YEAR(agg_orders_daily_revenue[[#This Row],[Order_Date]])</f>
        <v>2025</v>
      </c>
      <c r="F440">
        <f>MONTH(agg_orders_daily_revenue[[#This Row],[Order_Date]])</f>
        <v>3</v>
      </c>
      <c r="G440" t="str">
        <f>TEXT(agg_orders_daily_revenue[[#This Row],[Order_Date]],"yyyy-mm")</f>
        <v>2025-03</v>
      </c>
      <c r="H440">
        <f>WEEKDAY(agg_orders_daily_revenue[[#This Row],[Order_Date]],2)</f>
        <v>5</v>
      </c>
      <c r="I440" t="str">
        <f>IF(OR(agg_orders_daily_revenue[[#This Row],[Weekday_Num]]=6, agg_orders_daily_revenue[[#This Row],[Weekday_Num]]=7), "Weekend", "Weekday")</f>
        <v>Weekday</v>
      </c>
      <c r="J440" t="str">
        <f>TEXT(agg_orders_daily_revenue[[#This Row],[Order_Date]], "ddd")</f>
        <v>Fri</v>
      </c>
    </row>
    <row r="441" spans="1:10" x14ac:dyDescent="0.4">
      <c r="A441" s="1">
        <v>45731</v>
      </c>
      <c r="B441">
        <v>501679</v>
      </c>
      <c r="C441">
        <v>519945</v>
      </c>
      <c r="D441">
        <v>410</v>
      </c>
      <c r="E441">
        <f>YEAR(agg_orders_daily_revenue[[#This Row],[Order_Date]])</f>
        <v>2025</v>
      </c>
      <c r="F441">
        <f>MONTH(agg_orders_daily_revenue[[#This Row],[Order_Date]])</f>
        <v>3</v>
      </c>
      <c r="G441" t="str">
        <f>TEXT(agg_orders_daily_revenue[[#This Row],[Order_Date]],"yyyy-mm")</f>
        <v>2025-03</v>
      </c>
      <c r="H441">
        <f>WEEKDAY(agg_orders_daily_revenue[[#This Row],[Order_Date]],2)</f>
        <v>6</v>
      </c>
      <c r="I441" t="str">
        <f>IF(OR(agg_orders_daily_revenue[[#This Row],[Weekday_Num]]=6, agg_orders_daily_revenue[[#This Row],[Weekday_Num]]=7), "Weekend", "Weekday")</f>
        <v>Weekend</v>
      </c>
      <c r="J441" t="str">
        <f>TEXT(agg_orders_daily_revenue[[#This Row],[Order_Date]], "ddd")</f>
        <v>Sat</v>
      </c>
    </row>
    <row r="442" spans="1:10" x14ac:dyDescent="0.4">
      <c r="A442" s="1">
        <v>45732</v>
      </c>
      <c r="B442">
        <v>494552</v>
      </c>
      <c r="C442">
        <v>519741.71</v>
      </c>
      <c r="D442">
        <v>397</v>
      </c>
      <c r="E442">
        <f>YEAR(agg_orders_daily_revenue[[#This Row],[Order_Date]])</f>
        <v>2025</v>
      </c>
      <c r="F442">
        <f>MONTH(agg_orders_daily_revenue[[#This Row],[Order_Date]])</f>
        <v>3</v>
      </c>
      <c r="G442" t="str">
        <f>TEXT(agg_orders_daily_revenue[[#This Row],[Order_Date]],"yyyy-mm")</f>
        <v>2025-03</v>
      </c>
      <c r="H442">
        <f>WEEKDAY(agg_orders_daily_revenue[[#This Row],[Order_Date]],2)</f>
        <v>7</v>
      </c>
      <c r="I442" t="str">
        <f>IF(OR(agg_orders_daily_revenue[[#This Row],[Weekday_Num]]=6, agg_orders_daily_revenue[[#This Row],[Weekday_Num]]=7), "Weekend", "Weekday")</f>
        <v>Weekend</v>
      </c>
      <c r="J442" t="str">
        <f>TEXT(agg_orders_daily_revenue[[#This Row],[Order_Date]], "ddd")</f>
        <v>Sun</v>
      </c>
    </row>
    <row r="443" spans="1:10" x14ac:dyDescent="0.4">
      <c r="A443" s="1">
        <v>45733</v>
      </c>
      <c r="B443">
        <v>529698</v>
      </c>
      <c r="C443">
        <v>511832.71</v>
      </c>
      <c r="D443">
        <v>418</v>
      </c>
      <c r="E443">
        <f>YEAR(agg_orders_daily_revenue[[#This Row],[Order_Date]])</f>
        <v>2025</v>
      </c>
      <c r="F443">
        <f>MONTH(agg_orders_daily_revenue[[#This Row],[Order_Date]])</f>
        <v>3</v>
      </c>
      <c r="G443" t="str">
        <f>TEXT(agg_orders_daily_revenue[[#This Row],[Order_Date]],"yyyy-mm")</f>
        <v>2025-03</v>
      </c>
      <c r="H443">
        <f>WEEKDAY(agg_orders_daily_revenue[[#This Row],[Order_Date]],2)</f>
        <v>1</v>
      </c>
      <c r="I443" t="str">
        <f>IF(OR(agg_orders_daily_revenue[[#This Row],[Weekday_Num]]=6, agg_orders_daily_revenue[[#This Row],[Weekday_Num]]=7), "Weekend", "Weekday")</f>
        <v>Weekday</v>
      </c>
      <c r="J443" t="str">
        <f>TEXT(agg_orders_daily_revenue[[#This Row],[Order_Date]], "ddd")</f>
        <v>Mon</v>
      </c>
    </row>
    <row r="444" spans="1:10" x14ac:dyDescent="0.4">
      <c r="A444" s="1">
        <v>45734</v>
      </c>
      <c r="B444">
        <v>497218</v>
      </c>
      <c r="C444">
        <v>510369.71</v>
      </c>
      <c r="D444">
        <v>413</v>
      </c>
      <c r="E444">
        <f>YEAR(agg_orders_daily_revenue[[#This Row],[Order_Date]])</f>
        <v>2025</v>
      </c>
      <c r="F444">
        <f>MONTH(agg_orders_daily_revenue[[#This Row],[Order_Date]])</f>
        <v>3</v>
      </c>
      <c r="G444" t="str">
        <f>TEXT(agg_orders_daily_revenue[[#This Row],[Order_Date]],"yyyy-mm")</f>
        <v>2025-03</v>
      </c>
      <c r="H444">
        <f>WEEKDAY(agg_orders_daily_revenue[[#This Row],[Order_Date]],2)</f>
        <v>2</v>
      </c>
      <c r="I444" t="str">
        <f>IF(OR(agg_orders_daily_revenue[[#This Row],[Weekday_Num]]=6, agg_orders_daily_revenue[[#This Row],[Weekday_Num]]=7), "Weekend", "Weekday")</f>
        <v>Weekday</v>
      </c>
      <c r="J444" t="str">
        <f>TEXT(agg_orders_daily_revenue[[#This Row],[Order_Date]], "ddd")</f>
        <v>Tue</v>
      </c>
    </row>
    <row r="445" spans="1:10" x14ac:dyDescent="0.4">
      <c r="A445" s="1">
        <v>45735</v>
      </c>
      <c r="B445">
        <v>538128</v>
      </c>
      <c r="C445">
        <v>509382</v>
      </c>
      <c r="D445">
        <v>432</v>
      </c>
      <c r="E445">
        <f>YEAR(agg_orders_daily_revenue[[#This Row],[Order_Date]])</f>
        <v>2025</v>
      </c>
      <c r="F445">
        <f>MONTH(agg_orders_daily_revenue[[#This Row],[Order_Date]])</f>
        <v>3</v>
      </c>
      <c r="G445" t="str">
        <f>TEXT(agg_orders_daily_revenue[[#This Row],[Order_Date]],"yyyy-mm")</f>
        <v>2025-03</v>
      </c>
      <c r="H445">
        <f>WEEKDAY(agg_orders_daily_revenue[[#This Row],[Order_Date]],2)</f>
        <v>3</v>
      </c>
      <c r="I445" t="str">
        <f>IF(OR(agg_orders_daily_revenue[[#This Row],[Weekday_Num]]=6, agg_orders_daily_revenue[[#This Row],[Weekday_Num]]=7), "Weekend", "Weekday")</f>
        <v>Weekday</v>
      </c>
      <c r="J445" t="str">
        <f>TEXT(agg_orders_daily_revenue[[#This Row],[Order_Date]], "ddd")</f>
        <v>Wed</v>
      </c>
    </row>
    <row r="446" spans="1:10" x14ac:dyDescent="0.4">
      <c r="A446" s="1">
        <v>45736</v>
      </c>
      <c r="B446">
        <v>490281</v>
      </c>
      <c r="C446">
        <v>511735.14</v>
      </c>
      <c r="D446">
        <v>386</v>
      </c>
      <c r="E446">
        <f>YEAR(agg_orders_daily_revenue[[#This Row],[Order_Date]])</f>
        <v>2025</v>
      </c>
      <c r="F446">
        <f>MONTH(agg_orders_daily_revenue[[#This Row],[Order_Date]])</f>
        <v>3</v>
      </c>
      <c r="G446" t="str">
        <f>TEXT(agg_orders_daily_revenue[[#This Row],[Order_Date]],"yyyy-mm")</f>
        <v>2025-03</v>
      </c>
      <c r="H446">
        <f>WEEKDAY(agg_orders_daily_revenue[[#This Row],[Order_Date]],2)</f>
        <v>4</v>
      </c>
      <c r="I446" t="str">
        <f>IF(OR(agg_orders_daily_revenue[[#This Row],[Weekday_Num]]=6, agg_orders_daily_revenue[[#This Row],[Weekday_Num]]=7), "Weekend", "Weekday")</f>
        <v>Weekday</v>
      </c>
      <c r="J446" t="str">
        <f>TEXT(agg_orders_daily_revenue[[#This Row],[Order_Date]], "ddd")</f>
        <v>Thu</v>
      </c>
    </row>
    <row r="447" spans="1:10" x14ac:dyDescent="0.4">
      <c r="A447" s="1">
        <v>45737</v>
      </c>
      <c r="B447">
        <v>521907</v>
      </c>
      <c r="C447">
        <v>510494.71</v>
      </c>
      <c r="D447">
        <v>415</v>
      </c>
      <c r="E447">
        <f>YEAR(agg_orders_daily_revenue[[#This Row],[Order_Date]])</f>
        <v>2025</v>
      </c>
      <c r="F447">
        <f>MONTH(agg_orders_daily_revenue[[#This Row],[Order_Date]])</f>
        <v>3</v>
      </c>
      <c r="G447" t="str">
        <f>TEXT(agg_orders_daily_revenue[[#This Row],[Order_Date]],"yyyy-mm")</f>
        <v>2025-03</v>
      </c>
      <c r="H447">
        <f>WEEKDAY(agg_orders_daily_revenue[[#This Row],[Order_Date]],2)</f>
        <v>5</v>
      </c>
      <c r="I447" t="str">
        <f>IF(OR(agg_orders_daily_revenue[[#This Row],[Weekday_Num]]=6, agg_orders_daily_revenue[[#This Row],[Weekday_Num]]=7), "Weekend", "Weekday")</f>
        <v>Weekday</v>
      </c>
      <c r="J447" t="str">
        <f>TEXT(agg_orders_daily_revenue[[#This Row],[Order_Date]], "ddd")</f>
        <v>Fri</v>
      </c>
    </row>
    <row r="448" spans="1:10" x14ac:dyDescent="0.4">
      <c r="A448" s="1">
        <v>45738</v>
      </c>
      <c r="B448">
        <v>530920</v>
      </c>
      <c r="C448">
        <v>514672</v>
      </c>
      <c r="D448">
        <v>435</v>
      </c>
      <c r="E448">
        <f>YEAR(agg_orders_daily_revenue[[#This Row],[Order_Date]])</f>
        <v>2025</v>
      </c>
      <c r="F448">
        <f>MONTH(agg_orders_daily_revenue[[#This Row],[Order_Date]])</f>
        <v>3</v>
      </c>
      <c r="G448" t="str">
        <f>TEXT(agg_orders_daily_revenue[[#This Row],[Order_Date]],"yyyy-mm")</f>
        <v>2025-03</v>
      </c>
      <c r="H448">
        <f>WEEKDAY(agg_orders_daily_revenue[[#This Row],[Order_Date]],2)</f>
        <v>6</v>
      </c>
      <c r="I448" t="str">
        <f>IF(OR(agg_orders_daily_revenue[[#This Row],[Weekday_Num]]=6, agg_orders_daily_revenue[[#This Row],[Weekday_Num]]=7), "Weekend", "Weekday")</f>
        <v>Weekend</v>
      </c>
      <c r="J448" t="str">
        <f>TEXT(agg_orders_daily_revenue[[#This Row],[Order_Date]], "ddd")</f>
        <v>Sat</v>
      </c>
    </row>
    <row r="449" spans="1:10" x14ac:dyDescent="0.4">
      <c r="A449" s="1">
        <v>45739</v>
      </c>
      <c r="B449">
        <v>493730</v>
      </c>
      <c r="C449">
        <v>514554.57</v>
      </c>
      <c r="D449">
        <v>380</v>
      </c>
      <c r="E449">
        <f>YEAR(agg_orders_daily_revenue[[#This Row],[Order_Date]])</f>
        <v>2025</v>
      </c>
      <c r="F449">
        <f>MONTH(agg_orders_daily_revenue[[#This Row],[Order_Date]])</f>
        <v>3</v>
      </c>
      <c r="G449" t="str">
        <f>TEXT(agg_orders_daily_revenue[[#This Row],[Order_Date]],"yyyy-mm")</f>
        <v>2025-03</v>
      </c>
      <c r="H449">
        <f>WEEKDAY(agg_orders_daily_revenue[[#This Row],[Order_Date]],2)</f>
        <v>7</v>
      </c>
      <c r="I449" t="str">
        <f>IF(OR(agg_orders_daily_revenue[[#This Row],[Weekday_Num]]=6, agg_orders_daily_revenue[[#This Row],[Weekday_Num]]=7), "Weekend", "Weekday")</f>
        <v>Weekend</v>
      </c>
      <c r="J449" t="str">
        <f>TEXT(agg_orders_daily_revenue[[#This Row],[Order_Date]], "ddd")</f>
        <v>Sun</v>
      </c>
    </row>
    <row r="450" spans="1:10" x14ac:dyDescent="0.4">
      <c r="A450" s="1">
        <v>45740</v>
      </c>
      <c r="B450">
        <v>497562</v>
      </c>
      <c r="C450">
        <v>509963.71</v>
      </c>
      <c r="D450">
        <v>402</v>
      </c>
      <c r="E450">
        <f>YEAR(agg_orders_daily_revenue[[#This Row],[Order_Date]])</f>
        <v>2025</v>
      </c>
      <c r="F450">
        <f>MONTH(agg_orders_daily_revenue[[#This Row],[Order_Date]])</f>
        <v>3</v>
      </c>
      <c r="G450" t="str">
        <f>TEXT(agg_orders_daily_revenue[[#This Row],[Order_Date]],"yyyy-mm")</f>
        <v>2025-03</v>
      </c>
      <c r="H450">
        <f>WEEKDAY(agg_orders_daily_revenue[[#This Row],[Order_Date]],2)</f>
        <v>1</v>
      </c>
      <c r="I450" t="str">
        <f>IF(OR(agg_orders_daily_revenue[[#This Row],[Weekday_Num]]=6, agg_orders_daily_revenue[[#This Row],[Weekday_Num]]=7), "Weekend", "Weekday")</f>
        <v>Weekday</v>
      </c>
      <c r="J450" t="str">
        <f>TEXT(agg_orders_daily_revenue[[#This Row],[Order_Date]], "ddd")</f>
        <v>Mon</v>
      </c>
    </row>
    <row r="451" spans="1:10" x14ac:dyDescent="0.4">
      <c r="A451" s="1">
        <v>45741</v>
      </c>
      <c r="B451">
        <v>521679</v>
      </c>
      <c r="C451">
        <v>513458.14</v>
      </c>
      <c r="D451">
        <v>416</v>
      </c>
      <c r="E451">
        <f>YEAR(agg_orders_daily_revenue[[#This Row],[Order_Date]])</f>
        <v>2025</v>
      </c>
      <c r="F451">
        <f>MONTH(agg_orders_daily_revenue[[#This Row],[Order_Date]])</f>
        <v>3</v>
      </c>
      <c r="G451" t="str">
        <f>TEXT(agg_orders_daily_revenue[[#This Row],[Order_Date]],"yyyy-mm")</f>
        <v>2025-03</v>
      </c>
      <c r="H451">
        <f>WEEKDAY(agg_orders_daily_revenue[[#This Row],[Order_Date]],2)</f>
        <v>2</v>
      </c>
      <c r="I451" t="str">
        <f>IF(OR(agg_orders_daily_revenue[[#This Row],[Weekday_Num]]=6, agg_orders_daily_revenue[[#This Row],[Weekday_Num]]=7), "Weekend", "Weekday")</f>
        <v>Weekday</v>
      </c>
      <c r="J451" t="str">
        <f>TEXT(agg_orders_daily_revenue[[#This Row],[Order_Date]], "ddd")</f>
        <v>Tue</v>
      </c>
    </row>
    <row r="452" spans="1:10" x14ac:dyDescent="0.4">
      <c r="A452" s="1">
        <v>45742</v>
      </c>
      <c r="B452">
        <v>552014</v>
      </c>
      <c r="C452">
        <v>515441.86</v>
      </c>
      <c r="D452">
        <v>440</v>
      </c>
      <c r="E452">
        <f>YEAR(agg_orders_daily_revenue[[#This Row],[Order_Date]])</f>
        <v>2025</v>
      </c>
      <c r="F452">
        <f>MONTH(agg_orders_daily_revenue[[#This Row],[Order_Date]])</f>
        <v>3</v>
      </c>
      <c r="G452" t="str">
        <f>TEXT(agg_orders_daily_revenue[[#This Row],[Order_Date]],"yyyy-mm")</f>
        <v>2025-03</v>
      </c>
      <c r="H452">
        <f>WEEKDAY(agg_orders_daily_revenue[[#This Row],[Order_Date]],2)</f>
        <v>3</v>
      </c>
      <c r="I452" t="str">
        <f>IF(OR(agg_orders_daily_revenue[[#This Row],[Weekday_Num]]=6, agg_orders_daily_revenue[[#This Row],[Weekday_Num]]=7), "Weekend", "Weekday")</f>
        <v>Weekday</v>
      </c>
      <c r="J452" t="str">
        <f>TEXT(agg_orders_daily_revenue[[#This Row],[Order_Date]], "ddd")</f>
        <v>Wed</v>
      </c>
    </row>
    <row r="453" spans="1:10" x14ac:dyDescent="0.4">
      <c r="A453" s="1">
        <v>45743</v>
      </c>
      <c r="B453">
        <v>553432</v>
      </c>
      <c r="C453">
        <v>524463.43000000005</v>
      </c>
      <c r="D453">
        <v>428</v>
      </c>
      <c r="E453">
        <f>YEAR(agg_orders_daily_revenue[[#This Row],[Order_Date]])</f>
        <v>2025</v>
      </c>
      <c r="F453">
        <f>MONTH(agg_orders_daily_revenue[[#This Row],[Order_Date]])</f>
        <v>3</v>
      </c>
      <c r="G453" t="str">
        <f>TEXT(agg_orders_daily_revenue[[#This Row],[Order_Date]],"yyyy-mm")</f>
        <v>2025-03</v>
      </c>
      <c r="H453">
        <f>WEEKDAY(agg_orders_daily_revenue[[#This Row],[Order_Date]],2)</f>
        <v>4</v>
      </c>
      <c r="I453" t="str">
        <f>IF(OR(agg_orders_daily_revenue[[#This Row],[Weekday_Num]]=6, agg_orders_daily_revenue[[#This Row],[Weekday_Num]]=7), "Weekend", "Weekday")</f>
        <v>Weekday</v>
      </c>
      <c r="J453" t="str">
        <f>TEXT(agg_orders_daily_revenue[[#This Row],[Order_Date]], "ddd")</f>
        <v>Thu</v>
      </c>
    </row>
    <row r="454" spans="1:10" x14ac:dyDescent="0.4">
      <c r="A454" s="1">
        <v>45744</v>
      </c>
      <c r="B454">
        <v>539843</v>
      </c>
      <c r="C454">
        <v>527025.71</v>
      </c>
      <c r="D454">
        <v>419</v>
      </c>
      <c r="E454">
        <f>YEAR(agg_orders_daily_revenue[[#This Row],[Order_Date]])</f>
        <v>2025</v>
      </c>
      <c r="F454">
        <f>MONTH(agg_orders_daily_revenue[[#This Row],[Order_Date]])</f>
        <v>3</v>
      </c>
      <c r="G454" t="str">
        <f>TEXT(agg_orders_daily_revenue[[#This Row],[Order_Date]],"yyyy-mm")</f>
        <v>2025-03</v>
      </c>
      <c r="H454">
        <f>WEEKDAY(agg_orders_daily_revenue[[#This Row],[Order_Date]],2)</f>
        <v>5</v>
      </c>
      <c r="I454" t="str">
        <f>IF(OR(agg_orders_daily_revenue[[#This Row],[Weekday_Num]]=6, agg_orders_daily_revenue[[#This Row],[Weekday_Num]]=7), "Weekend", "Weekday")</f>
        <v>Weekday</v>
      </c>
      <c r="J454" t="str">
        <f>TEXT(agg_orders_daily_revenue[[#This Row],[Order_Date]], "ddd")</f>
        <v>Fri</v>
      </c>
    </row>
    <row r="455" spans="1:10" x14ac:dyDescent="0.4">
      <c r="A455" s="1">
        <v>45745</v>
      </c>
      <c r="B455">
        <v>504360</v>
      </c>
      <c r="C455">
        <v>523231.43</v>
      </c>
      <c r="D455">
        <v>405</v>
      </c>
      <c r="E455">
        <f>YEAR(agg_orders_daily_revenue[[#This Row],[Order_Date]])</f>
        <v>2025</v>
      </c>
      <c r="F455">
        <f>MONTH(agg_orders_daily_revenue[[#This Row],[Order_Date]])</f>
        <v>3</v>
      </c>
      <c r="G455" t="str">
        <f>TEXT(agg_orders_daily_revenue[[#This Row],[Order_Date]],"yyyy-mm")</f>
        <v>2025-03</v>
      </c>
      <c r="H455">
        <f>WEEKDAY(agg_orders_daily_revenue[[#This Row],[Order_Date]],2)</f>
        <v>6</v>
      </c>
      <c r="I455" t="str">
        <f>IF(OR(agg_orders_daily_revenue[[#This Row],[Weekday_Num]]=6, agg_orders_daily_revenue[[#This Row],[Weekday_Num]]=7), "Weekend", "Weekday")</f>
        <v>Weekend</v>
      </c>
      <c r="J455" t="str">
        <f>TEXT(agg_orders_daily_revenue[[#This Row],[Order_Date]], "ddd")</f>
        <v>Sat</v>
      </c>
    </row>
    <row r="456" spans="1:10" x14ac:dyDescent="0.4">
      <c r="A456" s="1">
        <v>45746</v>
      </c>
      <c r="B456">
        <v>549321</v>
      </c>
      <c r="C456">
        <v>531173</v>
      </c>
      <c r="D456">
        <v>423</v>
      </c>
      <c r="E456">
        <f>YEAR(agg_orders_daily_revenue[[#This Row],[Order_Date]])</f>
        <v>2025</v>
      </c>
      <c r="F456">
        <f>MONTH(agg_orders_daily_revenue[[#This Row],[Order_Date]])</f>
        <v>3</v>
      </c>
      <c r="G456" t="str">
        <f>TEXT(agg_orders_daily_revenue[[#This Row],[Order_Date]],"yyyy-mm")</f>
        <v>2025-03</v>
      </c>
      <c r="H456">
        <f>WEEKDAY(agg_orders_daily_revenue[[#This Row],[Order_Date]],2)</f>
        <v>7</v>
      </c>
      <c r="I456" t="str">
        <f>IF(OR(agg_orders_daily_revenue[[#This Row],[Weekday_Num]]=6, agg_orders_daily_revenue[[#This Row],[Weekday_Num]]=7), "Weekend", "Weekday")</f>
        <v>Weekend</v>
      </c>
      <c r="J456" t="str">
        <f>TEXT(agg_orders_daily_revenue[[#This Row],[Order_Date]], "ddd")</f>
        <v>Sun</v>
      </c>
    </row>
    <row r="457" spans="1:10" x14ac:dyDescent="0.4">
      <c r="A457" s="1">
        <v>45747</v>
      </c>
      <c r="B457">
        <v>496668</v>
      </c>
      <c r="C457">
        <v>531045.29</v>
      </c>
      <c r="D457">
        <v>391</v>
      </c>
      <c r="E457">
        <f>YEAR(agg_orders_daily_revenue[[#This Row],[Order_Date]])</f>
        <v>2025</v>
      </c>
      <c r="F457">
        <f>MONTH(agg_orders_daily_revenue[[#This Row],[Order_Date]])</f>
        <v>3</v>
      </c>
      <c r="G457" t="str">
        <f>TEXT(agg_orders_daily_revenue[[#This Row],[Order_Date]],"yyyy-mm")</f>
        <v>2025-03</v>
      </c>
      <c r="H457">
        <f>WEEKDAY(agg_orders_daily_revenue[[#This Row],[Order_Date]],2)</f>
        <v>1</v>
      </c>
      <c r="I457" t="str">
        <f>IF(OR(agg_orders_daily_revenue[[#This Row],[Weekday_Num]]=6, agg_orders_daily_revenue[[#This Row],[Weekday_Num]]=7), "Weekend", "Weekday")</f>
        <v>Weekday</v>
      </c>
      <c r="J457" t="str">
        <f>TEXT(agg_orders_daily_revenue[[#This Row],[Order_Date]], "ddd")</f>
        <v>Mon</v>
      </c>
    </row>
    <row r="458" spans="1:10" x14ac:dyDescent="0.4">
      <c r="A458" s="1">
        <v>45748</v>
      </c>
      <c r="B458">
        <v>512661</v>
      </c>
      <c r="C458">
        <v>529757</v>
      </c>
      <c r="D458">
        <v>418</v>
      </c>
      <c r="E458">
        <f>YEAR(agg_orders_daily_revenue[[#This Row],[Order_Date]])</f>
        <v>2025</v>
      </c>
      <c r="F458">
        <f>MONTH(agg_orders_daily_revenue[[#This Row],[Order_Date]])</f>
        <v>4</v>
      </c>
      <c r="G458" t="str">
        <f>TEXT(agg_orders_daily_revenue[[#This Row],[Order_Date]],"yyyy-mm")</f>
        <v>2025-04</v>
      </c>
      <c r="H458">
        <f>WEEKDAY(agg_orders_daily_revenue[[#This Row],[Order_Date]],2)</f>
        <v>2</v>
      </c>
      <c r="I458" t="str">
        <f>IF(OR(agg_orders_daily_revenue[[#This Row],[Weekday_Num]]=6, agg_orders_daily_revenue[[#This Row],[Weekday_Num]]=7), "Weekend", "Weekday")</f>
        <v>Weekday</v>
      </c>
      <c r="J458" t="str">
        <f>TEXT(agg_orders_daily_revenue[[#This Row],[Order_Date]], "ddd")</f>
        <v>Tue</v>
      </c>
    </row>
    <row r="459" spans="1:10" x14ac:dyDescent="0.4">
      <c r="A459" s="1">
        <v>45749</v>
      </c>
      <c r="B459">
        <v>514737</v>
      </c>
      <c r="C459">
        <v>524431.71</v>
      </c>
      <c r="D459">
        <v>404</v>
      </c>
      <c r="E459">
        <f>YEAR(agg_orders_daily_revenue[[#This Row],[Order_Date]])</f>
        <v>2025</v>
      </c>
      <c r="F459">
        <f>MONTH(agg_orders_daily_revenue[[#This Row],[Order_Date]])</f>
        <v>4</v>
      </c>
      <c r="G459" t="str">
        <f>TEXT(agg_orders_daily_revenue[[#This Row],[Order_Date]],"yyyy-mm")</f>
        <v>2025-04</v>
      </c>
      <c r="H459">
        <f>WEEKDAY(agg_orders_daily_revenue[[#This Row],[Order_Date]],2)</f>
        <v>3</v>
      </c>
      <c r="I459" t="str">
        <f>IF(OR(agg_orders_daily_revenue[[#This Row],[Weekday_Num]]=6, agg_orders_daily_revenue[[#This Row],[Weekday_Num]]=7), "Weekend", "Weekday")</f>
        <v>Weekday</v>
      </c>
      <c r="J459" t="str">
        <f>TEXT(agg_orders_daily_revenue[[#This Row],[Order_Date]], "ddd")</f>
        <v>Wed</v>
      </c>
    </row>
    <row r="460" spans="1:10" x14ac:dyDescent="0.4">
      <c r="A460" s="1">
        <v>45750</v>
      </c>
      <c r="B460">
        <v>550582</v>
      </c>
      <c r="C460">
        <v>524024.57</v>
      </c>
      <c r="D460">
        <v>459</v>
      </c>
      <c r="E460">
        <f>YEAR(agg_orders_daily_revenue[[#This Row],[Order_Date]])</f>
        <v>2025</v>
      </c>
      <c r="F460">
        <f>MONTH(agg_orders_daily_revenue[[#This Row],[Order_Date]])</f>
        <v>4</v>
      </c>
      <c r="G460" t="str">
        <f>TEXT(agg_orders_daily_revenue[[#This Row],[Order_Date]],"yyyy-mm")</f>
        <v>2025-04</v>
      </c>
      <c r="H460">
        <f>WEEKDAY(agg_orders_daily_revenue[[#This Row],[Order_Date]],2)</f>
        <v>4</v>
      </c>
      <c r="I460" t="str">
        <f>IF(OR(agg_orders_daily_revenue[[#This Row],[Weekday_Num]]=6, agg_orders_daily_revenue[[#This Row],[Weekday_Num]]=7), "Weekend", "Weekday")</f>
        <v>Weekday</v>
      </c>
      <c r="J460" t="str">
        <f>TEXT(agg_orders_daily_revenue[[#This Row],[Order_Date]], "ddd")</f>
        <v>Thu</v>
      </c>
    </row>
    <row r="461" spans="1:10" x14ac:dyDescent="0.4">
      <c r="A461" s="1">
        <v>45751</v>
      </c>
      <c r="B461">
        <v>531611</v>
      </c>
      <c r="C461">
        <v>522848.57</v>
      </c>
      <c r="D461">
        <v>419</v>
      </c>
      <c r="E461">
        <f>YEAR(agg_orders_daily_revenue[[#This Row],[Order_Date]])</f>
        <v>2025</v>
      </c>
      <c r="F461">
        <f>MONTH(agg_orders_daily_revenue[[#This Row],[Order_Date]])</f>
        <v>4</v>
      </c>
      <c r="G461" t="str">
        <f>TEXT(agg_orders_daily_revenue[[#This Row],[Order_Date]],"yyyy-mm")</f>
        <v>2025-04</v>
      </c>
      <c r="H461">
        <f>WEEKDAY(agg_orders_daily_revenue[[#This Row],[Order_Date]],2)</f>
        <v>5</v>
      </c>
      <c r="I461" t="str">
        <f>IF(OR(agg_orders_daily_revenue[[#This Row],[Weekday_Num]]=6, agg_orders_daily_revenue[[#This Row],[Weekday_Num]]=7), "Weekend", "Weekday")</f>
        <v>Weekday</v>
      </c>
      <c r="J461" t="str">
        <f>TEXT(agg_orders_daily_revenue[[#This Row],[Order_Date]], "ddd")</f>
        <v>Fri</v>
      </c>
    </row>
    <row r="462" spans="1:10" x14ac:dyDescent="0.4">
      <c r="A462" s="1">
        <v>45752</v>
      </c>
      <c r="B462">
        <v>471090</v>
      </c>
      <c r="C462">
        <v>518095.71</v>
      </c>
      <c r="D462">
        <v>370</v>
      </c>
      <c r="E462">
        <f>YEAR(agg_orders_daily_revenue[[#This Row],[Order_Date]])</f>
        <v>2025</v>
      </c>
      <c r="F462">
        <f>MONTH(agg_orders_daily_revenue[[#This Row],[Order_Date]])</f>
        <v>4</v>
      </c>
      <c r="G462" t="str">
        <f>TEXT(agg_orders_daily_revenue[[#This Row],[Order_Date]],"yyyy-mm")</f>
        <v>2025-04</v>
      </c>
      <c r="H462">
        <f>WEEKDAY(agg_orders_daily_revenue[[#This Row],[Order_Date]],2)</f>
        <v>6</v>
      </c>
      <c r="I462" t="str">
        <f>IF(OR(agg_orders_daily_revenue[[#This Row],[Weekday_Num]]=6, agg_orders_daily_revenue[[#This Row],[Weekday_Num]]=7), "Weekend", "Weekday")</f>
        <v>Weekend</v>
      </c>
      <c r="J462" t="str">
        <f>TEXT(agg_orders_daily_revenue[[#This Row],[Order_Date]], "ddd")</f>
        <v>Sat</v>
      </c>
    </row>
    <row r="463" spans="1:10" x14ac:dyDescent="0.4">
      <c r="A463" s="1">
        <v>45753</v>
      </c>
      <c r="B463">
        <v>485584</v>
      </c>
      <c r="C463">
        <v>508990.43</v>
      </c>
      <c r="D463">
        <v>402</v>
      </c>
      <c r="E463">
        <f>YEAR(agg_orders_daily_revenue[[#This Row],[Order_Date]])</f>
        <v>2025</v>
      </c>
      <c r="F463">
        <f>MONTH(agg_orders_daily_revenue[[#This Row],[Order_Date]])</f>
        <v>4</v>
      </c>
      <c r="G463" t="str">
        <f>TEXT(agg_orders_daily_revenue[[#This Row],[Order_Date]],"yyyy-mm")</f>
        <v>2025-04</v>
      </c>
      <c r="H463">
        <f>WEEKDAY(agg_orders_daily_revenue[[#This Row],[Order_Date]],2)</f>
        <v>7</v>
      </c>
      <c r="I463" t="str">
        <f>IF(OR(agg_orders_daily_revenue[[#This Row],[Weekday_Num]]=6, agg_orders_daily_revenue[[#This Row],[Weekday_Num]]=7), "Weekend", "Weekday")</f>
        <v>Weekend</v>
      </c>
      <c r="J463" t="str">
        <f>TEXT(agg_orders_daily_revenue[[#This Row],[Order_Date]], "ddd")</f>
        <v>Sun</v>
      </c>
    </row>
    <row r="464" spans="1:10" x14ac:dyDescent="0.4">
      <c r="A464" s="1">
        <v>45754</v>
      </c>
      <c r="B464">
        <v>468575</v>
      </c>
      <c r="C464">
        <v>504977.14</v>
      </c>
      <c r="D464">
        <v>395</v>
      </c>
      <c r="E464">
        <f>YEAR(agg_orders_daily_revenue[[#This Row],[Order_Date]])</f>
        <v>2025</v>
      </c>
      <c r="F464">
        <f>MONTH(agg_orders_daily_revenue[[#This Row],[Order_Date]])</f>
        <v>4</v>
      </c>
      <c r="G464" t="str">
        <f>TEXT(agg_orders_daily_revenue[[#This Row],[Order_Date]],"yyyy-mm")</f>
        <v>2025-04</v>
      </c>
      <c r="H464">
        <f>WEEKDAY(agg_orders_daily_revenue[[#This Row],[Order_Date]],2)</f>
        <v>1</v>
      </c>
      <c r="I464" t="str">
        <f>IF(OR(agg_orders_daily_revenue[[#This Row],[Weekday_Num]]=6, agg_orders_daily_revenue[[#This Row],[Weekday_Num]]=7), "Weekend", "Weekday")</f>
        <v>Weekday</v>
      </c>
      <c r="J464" t="str">
        <f>TEXT(agg_orders_daily_revenue[[#This Row],[Order_Date]], "ddd")</f>
        <v>Mon</v>
      </c>
    </row>
    <row r="465" spans="1:10" x14ac:dyDescent="0.4">
      <c r="A465" s="1">
        <v>45755</v>
      </c>
      <c r="B465">
        <v>522478</v>
      </c>
      <c r="C465">
        <v>506379.57</v>
      </c>
      <c r="D465">
        <v>408</v>
      </c>
      <c r="E465">
        <f>YEAR(agg_orders_daily_revenue[[#This Row],[Order_Date]])</f>
        <v>2025</v>
      </c>
      <c r="F465">
        <f>MONTH(agg_orders_daily_revenue[[#This Row],[Order_Date]])</f>
        <v>4</v>
      </c>
      <c r="G465" t="str">
        <f>TEXT(agg_orders_daily_revenue[[#This Row],[Order_Date]],"yyyy-mm")</f>
        <v>2025-04</v>
      </c>
      <c r="H465">
        <f>WEEKDAY(agg_orders_daily_revenue[[#This Row],[Order_Date]],2)</f>
        <v>2</v>
      </c>
      <c r="I465" t="str">
        <f>IF(OR(agg_orders_daily_revenue[[#This Row],[Weekday_Num]]=6, agg_orders_daily_revenue[[#This Row],[Weekday_Num]]=7), "Weekend", "Weekday")</f>
        <v>Weekday</v>
      </c>
      <c r="J465" t="str">
        <f>TEXT(agg_orders_daily_revenue[[#This Row],[Order_Date]], "ddd")</f>
        <v>Tue</v>
      </c>
    </row>
    <row r="466" spans="1:10" x14ac:dyDescent="0.4">
      <c r="A466" s="1">
        <v>45756</v>
      </c>
      <c r="B466">
        <v>502347</v>
      </c>
      <c r="C466">
        <v>504609.57</v>
      </c>
      <c r="D466">
        <v>426</v>
      </c>
      <c r="E466">
        <f>YEAR(agg_orders_daily_revenue[[#This Row],[Order_Date]])</f>
        <v>2025</v>
      </c>
      <c r="F466">
        <f>MONTH(agg_orders_daily_revenue[[#This Row],[Order_Date]])</f>
        <v>4</v>
      </c>
      <c r="G466" t="str">
        <f>TEXT(agg_orders_daily_revenue[[#This Row],[Order_Date]],"yyyy-mm")</f>
        <v>2025-04</v>
      </c>
      <c r="H466">
        <f>WEEKDAY(agg_orders_daily_revenue[[#This Row],[Order_Date]],2)</f>
        <v>3</v>
      </c>
      <c r="I466" t="str">
        <f>IF(OR(agg_orders_daily_revenue[[#This Row],[Weekday_Num]]=6, agg_orders_daily_revenue[[#This Row],[Weekday_Num]]=7), "Weekend", "Weekday")</f>
        <v>Weekday</v>
      </c>
      <c r="J466" t="str">
        <f>TEXT(agg_orders_daily_revenue[[#This Row],[Order_Date]], "ddd")</f>
        <v>Wed</v>
      </c>
    </row>
    <row r="467" spans="1:10" x14ac:dyDescent="0.4">
      <c r="A467" s="1">
        <v>45757</v>
      </c>
      <c r="B467">
        <v>474924</v>
      </c>
      <c r="C467">
        <v>493801.29</v>
      </c>
      <c r="D467">
        <v>396</v>
      </c>
      <c r="E467">
        <f>YEAR(agg_orders_daily_revenue[[#This Row],[Order_Date]])</f>
        <v>2025</v>
      </c>
      <c r="F467">
        <f>MONTH(agg_orders_daily_revenue[[#This Row],[Order_Date]])</f>
        <v>4</v>
      </c>
      <c r="G467" t="str">
        <f>TEXT(agg_orders_daily_revenue[[#This Row],[Order_Date]],"yyyy-mm")</f>
        <v>2025-04</v>
      </c>
      <c r="H467">
        <f>WEEKDAY(agg_orders_daily_revenue[[#This Row],[Order_Date]],2)</f>
        <v>4</v>
      </c>
      <c r="I467" t="str">
        <f>IF(OR(agg_orders_daily_revenue[[#This Row],[Weekday_Num]]=6, agg_orders_daily_revenue[[#This Row],[Weekday_Num]]=7), "Weekend", "Weekday")</f>
        <v>Weekday</v>
      </c>
      <c r="J467" t="str">
        <f>TEXT(agg_orders_daily_revenue[[#This Row],[Order_Date]], "ddd")</f>
        <v>Thu</v>
      </c>
    </row>
    <row r="468" spans="1:10" x14ac:dyDescent="0.4">
      <c r="A468" s="1">
        <v>45758</v>
      </c>
      <c r="B468">
        <v>566748</v>
      </c>
      <c r="C468">
        <v>498820.86</v>
      </c>
      <c r="D468">
        <v>443</v>
      </c>
      <c r="E468">
        <f>YEAR(agg_orders_daily_revenue[[#This Row],[Order_Date]])</f>
        <v>2025</v>
      </c>
      <c r="F468">
        <f>MONTH(agg_orders_daily_revenue[[#This Row],[Order_Date]])</f>
        <v>4</v>
      </c>
      <c r="G468" t="str">
        <f>TEXT(agg_orders_daily_revenue[[#This Row],[Order_Date]],"yyyy-mm")</f>
        <v>2025-04</v>
      </c>
      <c r="H468">
        <f>WEEKDAY(agg_orders_daily_revenue[[#This Row],[Order_Date]],2)</f>
        <v>5</v>
      </c>
      <c r="I468" t="str">
        <f>IF(OR(agg_orders_daily_revenue[[#This Row],[Weekday_Num]]=6, agg_orders_daily_revenue[[#This Row],[Weekday_Num]]=7), "Weekend", "Weekday")</f>
        <v>Weekday</v>
      </c>
      <c r="J468" t="str">
        <f>TEXT(agg_orders_daily_revenue[[#This Row],[Order_Date]], "ddd")</f>
        <v>Fri</v>
      </c>
    </row>
    <row r="469" spans="1:10" x14ac:dyDescent="0.4">
      <c r="A469" s="1">
        <v>45759</v>
      </c>
      <c r="B469">
        <v>510975</v>
      </c>
      <c r="C469">
        <v>504518.71</v>
      </c>
      <c r="D469">
        <v>411</v>
      </c>
      <c r="E469">
        <f>YEAR(agg_orders_daily_revenue[[#This Row],[Order_Date]])</f>
        <v>2025</v>
      </c>
      <c r="F469">
        <f>MONTH(agg_orders_daily_revenue[[#This Row],[Order_Date]])</f>
        <v>4</v>
      </c>
      <c r="G469" t="str">
        <f>TEXT(agg_orders_daily_revenue[[#This Row],[Order_Date]],"yyyy-mm")</f>
        <v>2025-04</v>
      </c>
      <c r="H469">
        <f>WEEKDAY(agg_orders_daily_revenue[[#This Row],[Order_Date]],2)</f>
        <v>6</v>
      </c>
      <c r="I469" t="str">
        <f>IF(OR(agg_orders_daily_revenue[[#This Row],[Weekday_Num]]=6, agg_orders_daily_revenue[[#This Row],[Weekday_Num]]=7), "Weekend", "Weekday")</f>
        <v>Weekend</v>
      </c>
      <c r="J469" t="str">
        <f>TEXT(agg_orders_daily_revenue[[#This Row],[Order_Date]], "ddd")</f>
        <v>Sat</v>
      </c>
    </row>
    <row r="470" spans="1:10" x14ac:dyDescent="0.4">
      <c r="A470" s="1">
        <v>45760</v>
      </c>
      <c r="B470">
        <v>482759</v>
      </c>
      <c r="C470">
        <v>504115.14</v>
      </c>
      <c r="D470">
        <v>396</v>
      </c>
      <c r="E470">
        <f>YEAR(agg_orders_daily_revenue[[#This Row],[Order_Date]])</f>
        <v>2025</v>
      </c>
      <c r="F470">
        <f>MONTH(agg_orders_daily_revenue[[#This Row],[Order_Date]])</f>
        <v>4</v>
      </c>
      <c r="G470" t="str">
        <f>TEXT(agg_orders_daily_revenue[[#This Row],[Order_Date]],"yyyy-mm")</f>
        <v>2025-04</v>
      </c>
      <c r="H470">
        <f>WEEKDAY(agg_orders_daily_revenue[[#This Row],[Order_Date]],2)</f>
        <v>7</v>
      </c>
      <c r="I470" t="str">
        <f>IF(OR(agg_orders_daily_revenue[[#This Row],[Weekday_Num]]=6, agg_orders_daily_revenue[[#This Row],[Weekday_Num]]=7), "Weekend", "Weekday")</f>
        <v>Weekend</v>
      </c>
      <c r="J470" t="str">
        <f>TEXT(agg_orders_daily_revenue[[#This Row],[Order_Date]], "ddd")</f>
        <v>Sun</v>
      </c>
    </row>
    <row r="471" spans="1:10" x14ac:dyDescent="0.4">
      <c r="A471" s="1">
        <v>45761</v>
      </c>
      <c r="B471">
        <v>512014</v>
      </c>
      <c r="C471">
        <v>510320.71</v>
      </c>
      <c r="D471">
        <v>423</v>
      </c>
      <c r="E471">
        <f>YEAR(agg_orders_daily_revenue[[#This Row],[Order_Date]])</f>
        <v>2025</v>
      </c>
      <c r="F471">
        <f>MONTH(agg_orders_daily_revenue[[#This Row],[Order_Date]])</f>
        <v>4</v>
      </c>
      <c r="G471" t="str">
        <f>TEXT(agg_orders_daily_revenue[[#This Row],[Order_Date]],"yyyy-mm")</f>
        <v>2025-04</v>
      </c>
      <c r="H471">
        <f>WEEKDAY(agg_orders_daily_revenue[[#This Row],[Order_Date]],2)</f>
        <v>1</v>
      </c>
      <c r="I471" t="str">
        <f>IF(OR(agg_orders_daily_revenue[[#This Row],[Weekday_Num]]=6, agg_orders_daily_revenue[[#This Row],[Weekday_Num]]=7), "Weekend", "Weekday")</f>
        <v>Weekday</v>
      </c>
      <c r="J471" t="str">
        <f>TEXT(agg_orders_daily_revenue[[#This Row],[Order_Date]], "ddd")</f>
        <v>Mon</v>
      </c>
    </row>
    <row r="472" spans="1:10" x14ac:dyDescent="0.4">
      <c r="A472" s="1">
        <v>45762</v>
      </c>
      <c r="B472">
        <v>475405</v>
      </c>
      <c r="C472">
        <v>503596</v>
      </c>
      <c r="D472">
        <v>383</v>
      </c>
      <c r="E472">
        <f>YEAR(agg_orders_daily_revenue[[#This Row],[Order_Date]])</f>
        <v>2025</v>
      </c>
      <c r="F472">
        <f>MONTH(agg_orders_daily_revenue[[#This Row],[Order_Date]])</f>
        <v>4</v>
      </c>
      <c r="G472" t="str">
        <f>TEXT(agg_orders_daily_revenue[[#This Row],[Order_Date]],"yyyy-mm")</f>
        <v>2025-04</v>
      </c>
      <c r="H472">
        <f>WEEKDAY(agg_orders_daily_revenue[[#This Row],[Order_Date]],2)</f>
        <v>2</v>
      </c>
      <c r="I472" t="str">
        <f>IF(OR(agg_orders_daily_revenue[[#This Row],[Weekday_Num]]=6, agg_orders_daily_revenue[[#This Row],[Weekday_Num]]=7), "Weekend", "Weekday")</f>
        <v>Weekday</v>
      </c>
      <c r="J472" t="str">
        <f>TEXT(agg_orders_daily_revenue[[#This Row],[Order_Date]], "ddd")</f>
        <v>Tue</v>
      </c>
    </row>
    <row r="473" spans="1:10" x14ac:dyDescent="0.4">
      <c r="A473" s="1">
        <v>45763</v>
      </c>
      <c r="B473">
        <v>540607</v>
      </c>
      <c r="C473">
        <v>509061.71</v>
      </c>
      <c r="D473">
        <v>428</v>
      </c>
      <c r="E473">
        <f>YEAR(agg_orders_daily_revenue[[#This Row],[Order_Date]])</f>
        <v>2025</v>
      </c>
      <c r="F473">
        <f>MONTH(agg_orders_daily_revenue[[#This Row],[Order_Date]])</f>
        <v>4</v>
      </c>
      <c r="G473" t="str">
        <f>TEXT(agg_orders_daily_revenue[[#This Row],[Order_Date]],"yyyy-mm")</f>
        <v>2025-04</v>
      </c>
      <c r="H473">
        <f>WEEKDAY(agg_orders_daily_revenue[[#This Row],[Order_Date]],2)</f>
        <v>3</v>
      </c>
      <c r="I473" t="str">
        <f>IF(OR(agg_orders_daily_revenue[[#This Row],[Weekday_Num]]=6, agg_orders_daily_revenue[[#This Row],[Weekday_Num]]=7), "Weekend", "Weekday")</f>
        <v>Weekday</v>
      </c>
      <c r="J473" t="str">
        <f>TEXT(agg_orders_daily_revenue[[#This Row],[Order_Date]], "ddd")</f>
        <v>Wed</v>
      </c>
    </row>
    <row r="474" spans="1:10" x14ac:dyDescent="0.4">
      <c r="A474" s="1">
        <v>45764</v>
      </c>
      <c r="B474">
        <v>510941</v>
      </c>
      <c r="C474">
        <v>514207</v>
      </c>
      <c r="D474">
        <v>418</v>
      </c>
      <c r="E474">
        <f>YEAR(agg_orders_daily_revenue[[#This Row],[Order_Date]])</f>
        <v>2025</v>
      </c>
      <c r="F474">
        <f>MONTH(agg_orders_daily_revenue[[#This Row],[Order_Date]])</f>
        <v>4</v>
      </c>
      <c r="G474" t="str">
        <f>TEXT(agg_orders_daily_revenue[[#This Row],[Order_Date]],"yyyy-mm")</f>
        <v>2025-04</v>
      </c>
      <c r="H474">
        <f>WEEKDAY(agg_orders_daily_revenue[[#This Row],[Order_Date]],2)</f>
        <v>4</v>
      </c>
      <c r="I474" t="str">
        <f>IF(OR(agg_orders_daily_revenue[[#This Row],[Weekday_Num]]=6, agg_orders_daily_revenue[[#This Row],[Weekday_Num]]=7), "Weekend", "Weekday")</f>
        <v>Weekday</v>
      </c>
      <c r="J474" t="str">
        <f>TEXT(agg_orders_daily_revenue[[#This Row],[Order_Date]], "ddd")</f>
        <v>Thu</v>
      </c>
    </row>
    <row r="475" spans="1:10" x14ac:dyDescent="0.4">
      <c r="A475" s="1">
        <v>45765</v>
      </c>
      <c r="B475">
        <v>470564</v>
      </c>
      <c r="C475">
        <v>500466.43</v>
      </c>
      <c r="D475">
        <v>389</v>
      </c>
      <c r="E475">
        <f>YEAR(agg_orders_daily_revenue[[#This Row],[Order_Date]])</f>
        <v>2025</v>
      </c>
      <c r="F475">
        <f>MONTH(agg_orders_daily_revenue[[#This Row],[Order_Date]])</f>
        <v>4</v>
      </c>
      <c r="G475" t="str">
        <f>TEXT(agg_orders_daily_revenue[[#This Row],[Order_Date]],"yyyy-mm")</f>
        <v>2025-04</v>
      </c>
      <c r="H475">
        <f>WEEKDAY(agg_orders_daily_revenue[[#This Row],[Order_Date]],2)</f>
        <v>5</v>
      </c>
      <c r="I475" t="str">
        <f>IF(OR(agg_orders_daily_revenue[[#This Row],[Weekday_Num]]=6, agg_orders_daily_revenue[[#This Row],[Weekday_Num]]=7), "Weekend", "Weekday")</f>
        <v>Weekday</v>
      </c>
      <c r="J475" t="str">
        <f>TEXT(agg_orders_daily_revenue[[#This Row],[Order_Date]], "ddd")</f>
        <v>Fri</v>
      </c>
    </row>
    <row r="476" spans="1:10" x14ac:dyDescent="0.4">
      <c r="A476" s="1">
        <v>45766</v>
      </c>
      <c r="B476">
        <v>541804</v>
      </c>
      <c r="C476">
        <v>504870.57</v>
      </c>
      <c r="D476">
        <v>420</v>
      </c>
      <c r="E476">
        <f>YEAR(agg_orders_daily_revenue[[#This Row],[Order_Date]])</f>
        <v>2025</v>
      </c>
      <c r="F476">
        <f>MONTH(agg_orders_daily_revenue[[#This Row],[Order_Date]])</f>
        <v>4</v>
      </c>
      <c r="G476" t="str">
        <f>TEXT(agg_orders_daily_revenue[[#This Row],[Order_Date]],"yyyy-mm")</f>
        <v>2025-04</v>
      </c>
      <c r="H476">
        <f>WEEKDAY(agg_orders_daily_revenue[[#This Row],[Order_Date]],2)</f>
        <v>6</v>
      </c>
      <c r="I476" t="str">
        <f>IF(OR(agg_orders_daily_revenue[[#This Row],[Weekday_Num]]=6, agg_orders_daily_revenue[[#This Row],[Weekday_Num]]=7), "Weekend", "Weekday")</f>
        <v>Weekend</v>
      </c>
      <c r="J476" t="str">
        <f>TEXT(agg_orders_daily_revenue[[#This Row],[Order_Date]], "ddd")</f>
        <v>Sat</v>
      </c>
    </row>
    <row r="477" spans="1:10" x14ac:dyDescent="0.4">
      <c r="A477" s="1">
        <v>45767</v>
      </c>
      <c r="B477">
        <v>526592</v>
      </c>
      <c r="C477">
        <v>511132.43</v>
      </c>
      <c r="D477">
        <v>402</v>
      </c>
      <c r="E477">
        <f>YEAR(agg_orders_daily_revenue[[#This Row],[Order_Date]])</f>
        <v>2025</v>
      </c>
      <c r="F477">
        <f>MONTH(agg_orders_daily_revenue[[#This Row],[Order_Date]])</f>
        <v>4</v>
      </c>
      <c r="G477" t="str">
        <f>TEXT(agg_orders_daily_revenue[[#This Row],[Order_Date]],"yyyy-mm")</f>
        <v>2025-04</v>
      </c>
      <c r="H477">
        <f>WEEKDAY(agg_orders_daily_revenue[[#This Row],[Order_Date]],2)</f>
        <v>7</v>
      </c>
      <c r="I477" t="str">
        <f>IF(OR(agg_orders_daily_revenue[[#This Row],[Weekday_Num]]=6, agg_orders_daily_revenue[[#This Row],[Weekday_Num]]=7), "Weekend", "Weekday")</f>
        <v>Weekend</v>
      </c>
      <c r="J477" t="str">
        <f>TEXT(agg_orders_daily_revenue[[#This Row],[Order_Date]], "ddd")</f>
        <v>Sun</v>
      </c>
    </row>
    <row r="478" spans="1:10" x14ac:dyDescent="0.4">
      <c r="A478" s="1">
        <v>45768</v>
      </c>
      <c r="B478">
        <v>479127</v>
      </c>
      <c r="C478">
        <v>506434.29</v>
      </c>
      <c r="D478">
        <v>400</v>
      </c>
      <c r="E478">
        <f>YEAR(agg_orders_daily_revenue[[#This Row],[Order_Date]])</f>
        <v>2025</v>
      </c>
      <c r="F478">
        <f>MONTH(agg_orders_daily_revenue[[#This Row],[Order_Date]])</f>
        <v>4</v>
      </c>
      <c r="G478" t="str">
        <f>TEXT(agg_orders_daily_revenue[[#This Row],[Order_Date]],"yyyy-mm")</f>
        <v>2025-04</v>
      </c>
      <c r="H478">
        <f>WEEKDAY(agg_orders_daily_revenue[[#This Row],[Order_Date]],2)</f>
        <v>1</v>
      </c>
      <c r="I478" t="str">
        <f>IF(OR(agg_orders_daily_revenue[[#This Row],[Weekday_Num]]=6, agg_orders_daily_revenue[[#This Row],[Weekday_Num]]=7), "Weekend", "Weekday")</f>
        <v>Weekday</v>
      </c>
      <c r="J478" t="str">
        <f>TEXT(agg_orders_daily_revenue[[#This Row],[Order_Date]], "ddd")</f>
        <v>Mon</v>
      </c>
    </row>
    <row r="479" spans="1:10" x14ac:dyDescent="0.4">
      <c r="A479" s="1">
        <v>45769</v>
      </c>
      <c r="B479">
        <v>503969</v>
      </c>
      <c r="C479">
        <v>510514.86</v>
      </c>
      <c r="D479">
        <v>401</v>
      </c>
      <c r="E479">
        <f>YEAR(agg_orders_daily_revenue[[#This Row],[Order_Date]])</f>
        <v>2025</v>
      </c>
      <c r="F479">
        <f>MONTH(agg_orders_daily_revenue[[#This Row],[Order_Date]])</f>
        <v>4</v>
      </c>
      <c r="G479" t="str">
        <f>TEXT(agg_orders_daily_revenue[[#This Row],[Order_Date]],"yyyy-mm")</f>
        <v>2025-04</v>
      </c>
      <c r="H479">
        <f>WEEKDAY(agg_orders_daily_revenue[[#This Row],[Order_Date]],2)</f>
        <v>2</v>
      </c>
      <c r="I479" t="str">
        <f>IF(OR(agg_orders_daily_revenue[[#This Row],[Weekday_Num]]=6, agg_orders_daily_revenue[[#This Row],[Weekday_Num]]=7), "Weekend", "Weekday")</f>
        <v>Weekday</v>
      </c>
      <c r="J479" t="str">
        <f>TEXT(agg_orders_daily_revenue[[#This Row],[Order_Date]], "ddd")</f>
        <v>Tue</v>
      </c>
    </row>
    <row r="480" spans="1:10" x14ac:dyDescent="0.4">
      <c r="A480" s="1">
        <v>45770</v>
      </c>
      <c r="B480">
        <v>521815</v>
      </c>
      <c r="C480">
        <v>507830.29</v>
      </c>
      <c r="D480">
        <v>416</v>
      </c>
      <c r="E480">
        <f>YEAR(agg_orders_daily_revenue[[#This Row],[Order_Date]])</f>
        <v>2025</v>
      </c>
      <c r="F480">
        <f>MONTH(agg_orders_daily_revenue[[#This Row],[Order_Date]])</f>
        <v>4</v>
      </c>
      <c r="G480" t="str">
        <f>TEXT(agg_orders_daily_revenue[[#This Row],[Order_Date]],"yyyy-mm")</f>
        <v>2025-04</v>
      </c>
      <c r="H480">
        <f>WEEKDAY(agg_orders_daily_revenue[[#This Row],[Order_Date]],2)</f>
        <v>3</v>
      </c>
      <c r="I480" t="str">
        <f>IF(OR(agg_orders_daily_revenue[[#This Row],[Weekday_Num]]=6, agg_orders_daily_revenue[[#This Row],[Weekday_Num]]=7), "Weekend", "Weekday")</f>
        <v>Weekday</v>
      </c>
      <c r="J480" t="str">
        <f>TEXT(agg_orders_daily_revenue[[#This Row],[Order_Date]], "ddd")</f>
        <v>Wed</v>
      </c>
    </row>
    <row r="481" spans="1:10" x14ac:dyDescent="0.4">
      <c r="A481" s="1">
        <v>45771</v>
      </c>
      <c r="B481">
        <v>492353</v>
      </c>
      <c r="C481">
        <v>505174.86</v>
      </c>
      <c r="D481">
        <v>401</v>
      </c>
      <c r="E481">
        <f>YEAR(agg_orders_daily_revenue[[#This Row],[Order_Date]])</f>
        <v>2025</v>
      </c>
      <c r="F481">
        <f>MONTH(agg_orders_daily_revenue[[#This Row],[Order_Date]])</f>
        <v>4</v>
      </c>
      <c r="G481" t="str">
        <f>TEXT(agg_orders_daily_revenue[[#This Row],[Order_Date]],"yyyy-mm")</f>
        <v>2025-04</v>
      </c>
      <c r="H481">
        <f>WEEKDAY(agg_orders_daily_revenue[[#This Row],[Order_Date]],2)</f>
        <v>4</v>
      </c>
      <c r="I481" t="str">
        <f>IF(OR(agg_orders_daily_revenue[[#This Row],[Weekday_Num]]=6, agg_orders_daily_revenue[[#This Row],[Weekday_Num]]=7), "Weekend", "Weekday")</f>
        <v>Weekday</v>
      </c>
      <c r="J481" t="str">
        <f>TEXT(agg_orders_daily_revenue[[#This Row],[Order_Date]], "ddd")</f>
        <v>Thu</v>
      </c>
    </row>
    <row r="482" spans="1:10" x14ac:dyDescent="0.4">
      <c r="A482" s="1">
        <v>45772</v>
      </c>
      <c r="B482">
        <v>515125</v>
      </c>
      <c r="C482">
        <v>511540.71</v>
      </c>
      <c r="D482">
        <v>409</v>
      </c>
      <c r="E482">
        <f>YEAR(agg_orders_daily_revenue[[#This Row],[Order_Date]])</f>
        <v>2025</v>
      </c>
      <c r="F482">
        <f>MONTH(agg_orders_daily_revenue[[#This Row],[Order_Date]])</f>
        <v>4</v>
      </c>
      <c r="G482" t="str">
        <f>TEXT(agg_orders_daily_revenue[[#This Row],[Order_Date]],"yyyy-mm")</f>
        <v>2025-04</v>
      </c>
      <c r="H482">
        <f>WEEKDAY(agg_orders_daily_revenue[[#This Row],[Order_Date]],2)</f>
        <v>5</v>
      </c>
      <c r="I482" t="str">
        <f>IF(OR(agg_orders_daily_revenue[[#This Row],[Weekday_Num]]=6, agg_orders_daily_revenue[[#This Row],[Weekday_Num]]=7), "Weekend", "Weekday")</f>
        <v>Weekday</v>
      </c>
      <c r="J482" t="str">
        <f>TEXT(agg_orders_daily_revenue[[#This Row],[Order_Date]], "ddd")</f>
        <v>Fri</v>
      </c>
    </row>
    <row r="483" spans="1:10" x14ac:dyDescent="0.4">
      <c r="A483" s="1">
        <v>45773</v>
      </c>
      <c r="B483">
        <v>484927</v>
      </c>
      <c r="C483">
        <v>503415.43</v>
      </c>
      <c r="D483">
        <v>387</v>
      </c>
      <c r="E483">
        <f>YEAR(agg_orders_daily_revenue[[#This Row],[Order_Date]])</f>
        <v>2025</v>
      </c>
      <c r="F483">
        <f>MONTH(agg_orders_daily_revenue[[#This Row],[Order_Date]])</f>
        <v>4</v>
      </c>
      <c r="G483" t="str">
        <f>TEXT(agg_orders_daily_revenue[[#This Row],[Order_Date]],"yyyy-mm")</f>
        <v>2025-04</v>
      </c>
      <c r="H483">
        <f>WEEKDAY(agg_orders_daily_revenue[[#This Row],[Order_Date]],2)</f>
        <v>6</v>
      </c>
      <c r="I483" t="str">
        <f>IF(OR(agg_orders_daily_revenue[[#This Row],[Weekday_Num]]=6, agg_orders_daily_revenue[[#This Row],[Weekday_Num]]=7), "Weekend", "Weekday")</f>
        <v>Weekend</v>
      </c>
      <c r="J483" t="str">
        <f>TEXT(agg_orders_daily_revenue[[#This Row],[Order_Date]], "ddd")</f>
        <v>Sat</v>
      </c>
    </row>
    <row r="484" spans="1:10" x14ac:dyDescent="0.4">
      <c r="A484" s="1">
        <v>45774</v>
      </c>
      <c r="B484">
        <v>522955</v>
      </c>
      <c r="C484">
        <v>502895.86</v>
      </c>
      <c r="D484">
        <v>426</v>
      </c>
      <c r="E484">
        <f>YEAR(agg_orders_daily_revenue[[#This Row],[Order_Date]])</f>
        <v>2025</v>
      </c>
      <c r="F484">
        <f>MONTH(agg_orders_daily_revenue[[#This Row],[Order_Date]])</f>
        <v>4</v>
      </c>
      <c r="G484" t="str">
        <f>TEXT(agg_orders_daily_revenue[[#This Row],[Order_Date]],"yyyy-mm")</f>
        <v>2025-04</v>
      </c>
      <c r="H484">
        <f>WEEKDAY(agg_orders_daily_revenue[[#This Row],[Order_Date]],2)</f>
        <v>7</v>
      </c>
      <c r="I484" t="str">
        <f>IF(OR(agg_orders_daily_revenue[[#This Row],[Weekday_Num]]=6, agg_orders_daily_revenue[[#This Row],[Weekday_Num]]=7), "Weekend", "Weekday")</f>
        <v>Weekend</v>
      </c>
      <c r="J484" t="str">
        <f>TEXT(agg_orders_daily_revenue[[#This Row],[Order_Date]], "ddd")</f>
        <v>Sun</v>
      </c>
    </row>
    <row r="485" spans="1:10" x14ac:dyDescent="0.4">
      <c r="A485" s="1">
        <v>45775</v>
      </c>
      <c r="B485">
        <v>520959</v>
      </c>
      <c r="C485">
        <v>508871.86</v>
      </c>
      <c r="D485">
        <v>410</v>
      </c>
      <c r="E485">
        <f>YEAR(agg_orders_daily_revenue[[#This Row],[Order_Date]])</f>
        <v>2025</v>
      </c>
      <c r="F485">
        <f>MONTH(agg_orders_daily_revenue[[#This Row],[Order_Date]])</f>
        <v>4</v>
      </c>
      <c r="G485" t="str">
        <f>TEXT(agg_orders_daily_revenue[[#This Row],[Order_Date]],"yyyy-mm")</f>
        <v>2025-04</v>
      </c>
      <c r="H485">
        <f>WEEKDAY(agg_orders_daily_revenue[[#This Row],[Order_Date]],2)</f>
        <v>1</v>
      </c>
      <c r="I485" t="str">
        <f>IF(OR(agg_orders_daily_revenue[[#This Row],[Weekday_Num]]=6, agg_orders_daily_revenue[[#This Row],[Weekday_Num]]=7), "Weekend", "Weekday")</f>
        <v>Weekday</v>
      </c>
      <c r="J485" t="str">
        <f>TEXT(agg_orders_daily_revenue[[#This Row],[Order_Date]], "ddd")</f>
        <v>Mon</v>
      </c>
    </row>
    <row r="486" spans="1:10" x14ac:dyDescent="0.4">
      <c r="A486" s="1">
        <v>45776</v>
      </c>
      <c r="B486">
        <v>561066</v>
      </c>
      <c r="C486">
        <v>517028.57</v>
      </c>
      <c r="D486">
        <v>450</v>
      </c>
      <c r="E486">
        <f>YEAR(agg_orders_daily_revenue[[#This Row],[Order_Date]])</f>
        <v>2025</v>
      </c>
      <c r="F486">
        <f>MONTH(agg_orders_daily_revenue[[#This Row],[Order_Date]])</f>
        <v>4</v>
      </c>
      <c r="G486" t="str">
        <f>TEXT(agg_orders_daily_revenue[[#This Row],[Order_Date]],"yyyy-mm")</f>
        <v>2025-04</v>
      </c>
      <c r="H486">
        <f>WEEKDAY(agg_orders_daily_revenue[[#This Row],[Order_Date]],2)</f>
        <v>2</v>
      </c>
      <c r="I486" t="str">
        <f>IF(OR(agg_orders_daily_revenue[[#This Row],[Weekday_Num]]=6, agg_orders_daily_revenue[[#This Row],[Weekday_Num]]=7), "Weekend", "Weekday")</f>
        <v>Weekday</v>
      </c>
      <c r="J486" t="str">
        <f>TEXT(agg_orders_daily_revenue[[#This Row],[Order_Date]], "ddd")</f>
        <v>Tue</v>
      </c>
    </row>
    <row r="487" spans="1:10" x14ac:dyDescent="0.4">
      <c r="A487" s="1">
        <v>45777</v>
      </c>
      <c r="B487">
        <v>488490</v>
      </c>
      <c r="C487">
        <v>512267.86</v>
      </c>
      <c r="D487">
        <v>407</v>
      </c>
      <c r="E487">
        <f>YEAR(agg_orders_daily_revenue[[#This Row],[Order_Date]])</f>
        <v>2025</v>
      </c>
      <c r="F487">
        <f>MONTH(agg_orders_daily_revenue[[#This Row],[Order_Date]])</f>
        <v>4</v>
      </c>
      <c r="G487" t="str">
        <f>TEXT(agg_orders_daily_revenue[[#This Row],[Order_Date]],"yyyy-mm")</f>
        <v>2025-04</v>
      </c>
      <c r="H487">
        <f>WEEKDAY(agg_orders_daily_revenue[[#This Row],[Order_Date]],2)</f>
        <v>3</v>
      </c>
      <c r="I487" t="str">
        <f>IF(OR(agg_orders_daily_revenue[[#This Row],[Weekday_Num]]=6, agg_orders_daily_revenue[[#This Row],[Weekday_Num]]=7), "Weekend", "Weekday")</f>
        <v>Weekday</v>
      </c>
      <c r="J487" t="str">
        <f>TEXT(agg_orders_daily_revenue[[#This Row],[Order_Date]], "ddd")</f>
        <v>Wed</v>
      </c>
    </row>
    <row r="488" spans="1:10" x14ac:dyDescent="0.4">
      <c r="A488" s="1">
        <v>45778</v>
      </c>
      <c r="B488">
        <v>521935</v>
      </c>
      <c r="C488">
        <v>516493.86</v>
      </c>
      <c r="D488">
        <v>405</v>
      </c>
      <c r="E488">
        <f>YEAR(agg_orders_daily_revenue[[#This Row],[Order_Date]])</f>
        <v>2025</v>
      </c>
      <c r="F488">
        <f>MONTH(agg_orders_daily_revenue[[#This Row],[Order_Date]])</f>
        <v>5</v>
      </c>
      <c r="G488" t="str">
        <f>TEXT(agg_orders_daily_revenue[[#This Row],[Order_Date]],"yyyy-mm")</f>
        <v>2025-05</v>
      </c>
      <c r="H488">
        <f>WEEKDAY(agg_orders_daily_revenue[[#This Row],[Order_Date]],2)</f>
        <v>4</v>
      </c>
      <c r="I488" t="str">
        <f>IF(OR(agg_orders_daily_revenue[[#This Row],[Weekday_Num]]=6, agg_orders_daily_revenue[[#This Row],[Weekday_Num]]=7), "Weekend", "Weekday")</f>
        <v>Weekday</v>
      </c>
      <c r="J488" t="str">
        <f>TEXT(agg_orders_daily_revenue[[#This Row],[Order_Date]], "ddd")</f>
        <v>Thu</v>
      </c>
    </row>
    <row r="489" spans="1:10" x14ac:dyDescent="0.4">
      <c r="A489" s="1">
        <v>45779</v>
      </c>
      <c r="B489">
        <v>512998</v>
      </c>
      <c r="C489">
        <v>516190</v>
      </c>
      <c r="D489">
        <v>405</v>
      </c>
      <c r="E489">
        <f>YEAR(agg_orders_daily_revenue[[#This Row],[Order_Date]])</f>
        <v>2025</v>
      </c>
      <c r="F489">
        <f>MONTH(agg_orders_daily_revenue[[#This Row],[Order_Date]])</f>
        <v>5</v>
      </c>
      <c r="G489" t="str">
        <f>TEXT(agg_orders_daily_revenue[[#This Row],[Order_Date]],"yyyy-mm")</f>
        <v>2025-05</v>
      </c>
      <c r="H489">
        <f>WEEKDAY(agg_orders_daily_revenue[[#This Row],[Order_Date]],2)</f>
        <v>5</v>
      </c>
      <c r="I489" t="str">
        <f>IF(OR(agg_orders_daily_revenue[[#This Row],[Weekday_Num]]=6, agg_orders_daily_revenue[[#This Row],[Weekday_Num]]=7), "Weekend", "Weekday")</f>
        <v>Weekday</v>
      </c>
      <c r="J489" t="str">
        <f>TEXT(agg_orders_daily_revenue[[#This Row],[Order_Date]], "ddd")</f>
        <v>Fri</v>
      </c>
    </row>
    <row r="490" spans="1:10" x14ac:dyDescent="0.4">
      <c r="A490" s="1">
        <v>45780</v>
      </c>
      <c r="B490">
        <v>541939</v>
      </c>
      <c r="C490">
        <v>524334.56999999995</v>
      </c>
      <c r="D490">
        <v>412</v>
      </c>
      <c r="E490">
        <f>YEAR(agg_orders_daily_revenue[[#This Row],[Order_Date]])</f>
        <v>2025</v>
      </c>
      <c r="F490">
        <f>MONTH(agg_orders_daily_revenue[[#This Row],[Order_Date]])</f>
        <v>5</v>
      </c>
      <c r="G490" t="str">
        <f>TEXT(agg_orders_daily_revenue[[#This Row],[Order_Date]],"yyyy-mm")</f>
        <v>2025-05</v>
      </c>
      <c r="H490">
        <f>WEEKDAY(agg_orders_daily_revenue[[#This Row],[Order_Date]],2)</f>
        <v>6</v>
      </c>
      <c r="I490" t="str">
        <f>IF(OR(agg_orders_daily_revenue[[#This Row],[Weekday_Num]]=6, agg_orders_daily_revenue[[#This Row],[Weekday_Num]]=7), "Weekend", "Weekday")</f>
        <v>Weekend</v>
      </c>
      <c r="J490" t="str">
        <f>TEXT(agg_orders_daily_revenue[[#This Row],[Order_Date]], "ddd")</f>
        <v>Sat</v>
      </c>
    </row>
    <row r="491" spans="1:10" x14ac:dyDescent="0.4">
      <c r="A491" s="1">
        <v>45781</v>
      </c>
      <c r="B491">
        <v>526711</v>
      </c>
      <c r="C491">
        <v>524871.14</v>
      </c>
      <c r="D491">
        <v>429</v>
      </c>
      <c r="E491">
        <f>YEAR(agg_orders_daily_revenue[[#This Row],[Order_Date]])</f>
        <v>2025</v>
      </c>
      <c r="F491">
        <f>MONTH(agg_orders_daily_revenue[[#This Row],[Order_Date]])</f>
        <v>5</v>
      </c>
      <c r="G491" t="str">
        <f>TEXT(agg_orders_daily_revenue[[#This Row],[Order_Date]],"yyyy-mm")</f>
        <v>2025-05</v>
      </c>
      <c r="H491">
        <f>WEEKDAY(agg_orders_daily_revenue[[#This Row],[Order_Date]],2)</f>
        <v>7</v>
      </c>
      <c r="I491" t="str">
        <f>IF(OR(agg_orders_daily_revenue[[#This Row],[Weekday_Num]]=6, agg_orders_daily_revenue[[#This Row],[Weekday_Num]]=7), "Weekend", "Weekday")</f>
        <v>Weekend</v>
      </c>
      <c r="J491" t="str">
        <f>TEXT(agg_orders_daily_revenue[[#This Row],[Order_Date]], "ddd")</f>
        <v>Sun</v>
      </c>
    </row>
    <row r="492" spans="1:10" x14ac:dyDescent="0.4">
      <c r="A492" s="1">
        <v>45782</v>
      </c>
      <c r="B492">
        <v>555870</v>
      </c>
      <c r="C492">
        <v>529858.43000000005</v>
      </c>
      <c r="D492">
        <v>413</v>
      </c>
      <c r="E492">
        <f>YEAR(agg_orders_daily_revenue[[#This Row],[Order_Date]])</f>
        <v>2025</v>
      </c>
      <c r="F492">
        <f>MONTH(agg_orders_daily_revenue[[#This Row],[Order_Date]])</f>
        <v>5</v>
      </c>
      <c r="G492" t="str">
        <f>TEXT(agg_orders_daily_revenue[[#This Row],[Order_Date]],"yyyy-mm")</f>
        <v>2025-05</v>
      </c>
      <c r="H492">
        <f>WEEKDAY(agg_orders_daily_revenue[[#This Row],[Order_Date]],2)</f>
        <v>1</v>
      </c>
      <c r="I492" t="str">
        <f>IF(OR(agg_orders_daily_revenue[[#This Row],[Weekday_Num]]=6, agg_orders_daily_revenue[[#This Row],[Weekday_Num]]=7), "Weekend", "Weekday")</f>
        <v>Weekday</v>
      </c>
      <c r="J492" t="str">
        <f>TEXT(agg_orders_daily_revenue[[#This Row],[Order_Date]], "ddd")</f>
        <v>Mon</v>
      </c>
    </row>
    <row r="493" spans="1:10" x14ac:dyDescent="0.4">
      <c r="A493" s="1">
        <v>45783</v>
      </c>
      <c r="B493">
        <v>516815</v>
      </c>
      <c r="C493">
        <v>523536.86</v>
      </c>
      <c r="D493">
        <v>418</v>
      </c>
      <c r="E493">
        <f>YEAR(agg_orders_daily_revenue[[#This Row],[Order_Date]])</f>
        <v>2025</v>
      </c>
      <c r="F493">
        <f>MONTH(agg_orders_daily_revenue[[#This Row],[Order_Date]])</f>
        <v>5</v>
      </c>
      <c r="G493" t="str">
        <f>TEXT(agg_orders_daily_revenue[[#This Row],[Order_Date]],"yyyy-mm")</f>
        <v>2025-05</v>
      </c>
      <c r="H493">
        <f>WEEKDAY(agg_orders_daily_revenue[[#This Row],[Order_Date]],2)</f>
        <v>2</v>
      </c>
      <c r="I493" t="str">
        <f>IF(OR(agg_orders_daily_revenue[[#This Row],[Weekday_Num]]=6, agg_orders_daily_revenue[[#This Row],[Weekday_Num]]=7), "Weekend", "Weekday")</f>
        <v>Weekday</v>
      </c>
      <c r="J493" t="str">
        <f>TEXT(agg_orders_daily_revenue[[#This Row],[Order_Date]], "ddd")</f>
        <v>Tue</v>
      </c>
    </row>
    <row r="494" spans="1:10" x14ac:dyDescent="0.4">
      <c r="A494" s="1">
        <v>45784</v>
      </c>
      <c r="B494">
        <v>479541</v>
      </c>
      <c r="C494">
        <v>522258.43</v>
      </c>
      <c r="D494">
        <v>392</v>
      </c>
      <c r="E494">
        <f>YEAR(agg_orders_daily_revenue[[#This Row],[Order_Date]])</f>
        <v>2025</v>
      </c>
      <c r="F494">
        <f>MONTH(agg_orders_daily_revenue[[#This Row],[Order_Date]])</f>
        <v>5</v>
      </c>
      <c r="G494" t="str">
        <f>TEXT(agg_orders_daily_revenue[[#This Row],[Order_Date]],"yyyy-mm")</f>
        <v>2025-05</v>
      </c>
      <c r="H494">
        <f>WEEKDAY(agg_orders_daily_revenue[[#This Row],[Order_Date]],2)</f>
        <v>3</v>
      </c>
      <c r="I494" t="str">
        <f>IF(OR(agg_orders_daily_revenue[[#This Row],[Weekday_Num]]=6, agg_orders_daily_revenue[[#This Row],[Weekday_Num]]=7), "Weekend", "Weekday")</f>
        <v>Weekday</v>
      </c>
      <c r="J494" t="str">
        <f>TEXT(agg_orders_daily_revenue[[#This Row],[Order_Date]], "ddd")</f>
        <v>Wed</v>
      </c>
    </row>
    <row r="495" spans="1:10" x14ac:dyDescent="0.4">
      <c r="A495" s="1">
        <v>45785</v>
      </c>
      <c r="B495">
        <v>473215</v>
      </c>
      <c r="C495">
        <v>515298.43</v>
      </c>
      <c r="D495">
        <v>380</v>
      </c>
      <c r="E495">
        <f>YEAR(agg_orders_daily_revenue[[#This Row],[Order_Date]])</f>
        <v>2025</v>
      </c>
      <c r="F495">
        <f>MONTH(agg_orders_daily_revenue[[#This Row],[Order_Date]])</f>
        <v>5</v>
      </c>
      <c r="G495" t="str">
        <f>TEXT(agg_orders_daily_revenue[[#This Row],[Order_Date]],"yyyy-mm")</f>
        <v>2025-05</v>
      </c>
      <c r="H495">
        <f>WEEKDAY(agg_orders_daily_revenue[[#This Row],[Order_Date]],2)</f>
        <v>4</v>
      </c>
      <c r="I495" t="str">
        <f>IF(OR(agg_orders_daily_revenue[[#This Row],[Weekday_Num]]=6, agg_orders_daily_revenue[[#This Row],[Weekday_Num]]=7), "Weekend", "Weekday")</f>
        <v>Weekday</v>
      </c>
      <c r="J495" t="str">
        <f>TEXT(agg_orders_daily_revenue[[#This Row],[Order_Date]], "ddd")</f>
        <v>Thu</v>
      </c>
    </row>
    <row r="496" spans="1:10" x14ac:dyDescent="0.4">
      <c r="A496" s="1">
        <v>45786</v>
      </c>
      <c r="B496">
        <v>515950</v>
      </c>
      <c r="C496">
        <v>515720.14</v>
      </c>
      <c r="D496">
        <v>408</v>
      </c>
      <c r="E496">
        <f>YEAR(agg_orders_daily_revenue[[#This Row],[Order_Date]])</f>
        <v>2025</v>
      </c>
      <c r="F496">
        <f>MONTH(agg_orders_daily_revenue[[#This Row],[Order_Date]])</f>
        <v>5</v>
      </c>
      <c r="G496" t="str">
        <f>TEXT(agg_orders_daily_revenue[[#This Row],[Order_Date]],"yyyy-mm")</f>
        <v>2025-05</v>
      </c>
      <c r="H496">
        <f>WEEKDAY(agg_orders_daily_revenue[[#This Row],[Order_Date]],2)</f>
        <v>5</v>
      </c>
      <c r="I496" t="str">
        <f>IF(OR(agg_orders_daily_revenue[[#This Row],[Weekday_Num]]=6, agg_orders_daily_revenue[[#This Row],[Weekday_Num]]=7), "Weekend", "Weekday")</f>
        <v>Weekday</v>
      </c>
      <c r="J496" t="str">
        <f>TEXT(agg_orders_daily_revenue[[#This Row],[Order_Date]], "ddd")</f>
        <v>Fri</v>
      </c>
    </row>
    <row r="497" spans="1:10" x14ac:dyDescent="0.4">
      <c r="A497" s="1">
        <v>45787</v>
      </c>
      <c r="B497">
        <v>488214</v>
      </c>
      <c r="C497">
        <v>508045.14</v>
      </c>
      <c r="D497">
        <v>390</v>
      </c>
      <c r="E497">
        <f>YEAR(agg_orders_daily_revenue[[#This Row],[Order_Date]])</f>
        <v>2025</v>
      </c>
      <c r="F497">
        <f>MONTH(agg_orders_daily_revenue[[#This Row],[Order_Date]])</f>
        <v>5</v>
      </c>
      <c r="G497" t="str">
        <f>TEXT(agg_orders_daily_revenue[[#This Row],[Order_Date]],"yyyy-mm")</f>
        <v>2025-05</v>
      </c>
      <c r="H497">
        <f>WEEKDAY(agg_orders_daily_revenue[[#This Row],[Order_Date]],2)</f>
        <v>6</v>
      </c>
      <c r="I497" t="str">
        <f>IF(OR(agg_orders_daily_revenue[[#This Row],[Weekday_Num]]=6, agg_orders_daily_revenue[[#This Row],[Weekday_Num]]=7), "Weekend", "Weekday")</f>
        <v>Weekend</v>
      </c>
      <c r="J497" t="str">
        <f>TEXT(agg_orders_daily_revenue[[#This Row],[Order_Date]], "ddd")</f>
        <v>Sat</v>
      </c>
    </row>
    <row r="498" spans="1:10" x14ac:dyDescent="0.4">
      <c r="A498" s="1">
        <v>45788</v>
      </c>
      <c r="B498">
        <v>534842</v>
      </c>
      <c r="C498">
        <v>509206.71</v>
      </c>
      <c r="D498">
        <v>427</v>
      </c>
      <c r="E498">
        <f>YEAR(agg_orders_daily_revenue[[#This Row],[Order_Date]])</f>
        <v>2025</v>
      </c>
      <c r="F498">
        <f>MONTH(agg_orders_daily_revenue[[#This Row],[Order_Date]])</f>
        <v>5</v>
      </c>
      <c r="G498" t="str">
        <f>TEXT(agg_orders_daily_revenue[[#This Row],[Order_Date]],"yyyy-mm")</f>
        <v>2025-05</v>
      </c>
      <c r="H498">
        <f>WEEKDAY(agg_orders_daily_revenue[[#This Row],[Order_Date]],2)</f>
        <v>7</v>
      </c>
      <c r="I498" t="str">
        <f>IF(OR(agg_orders_daily_revenue[[#This Row],[Weekday_Num]]=6, agg_orders_daily_revenue[[#This Row],[Weekday_Num]]=7), "Weekend", "Weekday")</f>
        <v>Weekend</v>
      </c>
      <c r="J498" t="str">
        <f>TEXT(agg_orders_daily_revenue[[#This Row],[Order_Date]], "ddd")</f>
        <v>Sun</v>
      </c>
    </row>
    <row r="499" spans="1:10" x14ac:dyDescent="0.4">
      <c r="A499" s="1">
        <v>45789</v>
      </c>
      <c r="B499">
        <v>485585</v>
      </c>
      <c r="C499">
        <v>499166</v>
      </c>
      <c r="D499">
        <v>371</v>
      </c>
      <c r="E499">
        <f>YEAR(agg_orders_daily_revenue[[#This Row],[Order_Date]])</f>
        <v>2025</v>
      </c>
      <c r="F499">
        <f>MONTH(agg_orders_daily_revenue[[#This Row],[Order_Date]])</f>
        <v>5</v>
      </c>
      <c r="G499" t="str">
        <f>TEXT(agg_orders_daily_revenue[[#This Row],[Order_Date]],"yyyy-mm")</f>
        <v>2025-05</v>
      </c>
      <c r="H499">
        <f>WEEKDAY(agg_orders_daily_revenue[[#This Row],[Order_Date]],2)</f>
        <v>1</v>
      </c>
      <c r="I499" t="str">
        <f>IF(OR(agg_orders_daily_revenue[[#This Row],[Weekday_Num]]=6, agg_orders_daily_revenue[[#This Row],[Weekday_Num]]=7), "Weekend", "Weekday")</f>
        <v>Weekday</v>
      </c>
      <c r="J499" t="str">
        <f>TEXT(agg_orders_daily_revenue[[#This Row],[Order_Date]], "ddd")</f>
        <v>Mon</v>
      </c>
    </row>
    <row r="500" spans="1:10" x14ac:dyDescent="0.4">
      <c r="A500" s="1">
        <v>45790</v>
      </c>
      <c r="B500">
        <v>483470</v>
      </c>
      <c r="C500">
        <v>494402.43</v>
      </c>
      <c r="D500">
        <v>385</v>
      </c>
      <c r="E500">
        <f>YEAR(agg_orders_daily_revenue[[#This Row],[Order_Date]])</f>
        <v>2025</v>
      </c>
      <c r="F500">
        <f>MONTH(agg_orders_daily_revenue[[#This Row],[Order_Date]])</f>
        <v>5</v>
      </c>
      <c r="G500" t="str">
        <f>TEXT(agg_orders_daily_revenue[[#This Row],[Order_Date]],"yyyy-mm")</f>
        <v>2025-05</v>
      </c>
      <c r="H500">
        <f>WEEKDAY(agg_orders_daily_revenue[[#This Row],[Order_Date]],2)</f>
        <v>2</v>
      </c>
      <c r="I500" t="str">
        <f>IF(OR(agg_orders_daily_revenue[[#This Row],[Weekday_Num]]=6, agg_orders_daily_revenue[[#This Row],[Weekday_Num]]=7), "Weekend", "Weekday")</f>
        <v>Weekday</v>
      </c>
      <c r="J500" t="str">
        <f>TEXT(agg_orders_daily_revenue[[#This Row],[Order_Date]], "ddd")</f>
        <v>Tue</v>
      </c>
    </row>
    <row r="501" spans="1:10" x14ac:dyDescent="0.4">
      <c r="A501" s="1">
        <v>45791</v>
      </c>
      <c r="B501">
        <v>544863</v>
      </c>
      <c r="C501">
        <v>503734.14</v>
      </c>
      <c r="D501">
        <v>424</v>
      </c>
      <c r="E501">
        <f>YEAR(agg_orders_daily_revenue[[#This Row],[Order_Date]])</f>
        <v>2025</v>
      </c>
      <c r="F501">
        <f>MONTH(agg_orders_daily_revenue[[#This Row],[Order_Date]])</f>
        <v>5</v>
      </c>
      <c r="G501" t="str">
        <f>TEXT(agg_orders_daily_revenue[[#This Row],[Order_Date]],"yyyy-mm")</f>
        <v>2025-05</v>
      </c>
      <c r="H501">
        <f>WEEKDAY(agg_orders_daily_revenue[[#This Row],[Order_Date]],2)</f>
        <v>3</v>
      </c>
      <c r="I501" t="str">
        <f>IF(OR(agg_orders_daily_revenue[[#This Row],[Weekday_Num]]=6, agg_orders_daily_revenue[[#This Row],[Weekday_Num]]=7), "Weekend", "Weekday")</f>
        <v>Weekday</v>
      </c>
      <c r="J501" t="str">
        <f>TEXT(agg_orders_daily_revenue[[#This Row],[Order_Date]], "ddd")</f>
        <v>Wed</v>
      </c>
    </row>
    <row r="502" spans="1:10" x14ac:dyDescent="0.4">
      <c r="A502" s="1">
        <v>45792</v>
      </c>
      <c r="B502">
        <v>499066</v>
      </c>
      <c r="C502">
        <v>507427.14</v>
      </c>
      <c r="D502">
        <v>404</v>
      </c>
      <c r="E502">
        <f>YEAR(agg_orders_daily_revenue[[#This Row],[Order_Date]])</f>
        <v>2025</v>
      </c>
      <c r="F502">
        <f>MONTH(agg_orders_daily_revenue[[#This Row],[Order_Date]])</f>
        <v>5</v>
      </c>
      <c r="G502" t="str">
        <f>TEXT(agg_orders_daily_revenue[[#This Row],[Order_Date]],"yyyy-mm")</f>
        <v>2025-05</v>
      </c>
      <c r="H502">
        <f>WEEKDAY(agg_orders_daily_revenue[[#This Row],[Order_Date]],2)</f>
        <v>4</v>
      </c>
      <c r="I502" t="str">
        <f>IF(OR(agg_orders_daily_revenue[[#This Row],[Weekday_Num]]=6, agg_orders_daily_revenue[[#This Row],[Weekday_Num]]=7), "Weekend", "Weekday")</f>
        <v>Weekday</v>
      </c>
      <c r="J502" t="str">
        <f>TEXT(agg_orders_daily_revenue[[#This Row],[Order_Date]], "ddd")</f>
        <v>Thu</v>
      </c>
    </row>
    <row r="503" spans="1:10" x14ac:dyDescent="0.4">
      <c r="A503" s="1">
        <v>45793</v>
      </c>
      <c r="B503">
        <v>490014</v>
      </c>
      <c r="C503">
        <v>503722</v>
      </c>
      <c r="D503">
        <v>392</v>
      </c>
      <c r="E503">
        <f>YEAR(agg_orders_daily_revenue[[#This Row],[Order_Date]])</f>
        <v>2025</v>
      </c>
      <c r="F503">
        <f>MONTH(agg_orders_daily_revenue[[#This Row],[Order_Date]])</f>
        <v>5</v>
      </c>
      <c r="G503" t="str">
        <f>TEXT(agg_orders_daily_revenue[[#This Row],[Order_Date]],"yyyy-mm")</f>
        <v>2025-05</v>
      </c>
      <c r="H503">
        <f>WEEKDAY(agg_orders_daily_revenue[[#This Row],[Order_Date]],2)</f>
        <v>5</v>
      </c>
      <c r="I503" t="str">
        <f>IF(OR(agg_orders_daily_revenue[[#This Row],[Weekday_Num]]=6, agg_orders_daily_revenue[[#This Row],[Weekday_Num]]=7), "Weekend", "Weekday")</f>
        <v>Weekday</v>
      </c>
      <c r="J503" t="str">
        <f>TEXT(agg_orders_daily_revenue[[#This Row],[Order_Date]], "ddd")</f>
        <v>Fri</v>
      </c>
    </row>
    <row r="504" spans="1:10" x14ac:dyDescent="0.4">
      <c r="A504" s="1">
        <v>45794</v>
      </c>
      <c r="B504">
        <v>486979</v>
      </c>
      <c r="C504">
        <v>503545.57</v>
      </c>
      <c r="D504">
        <v>379</v>
      </c>
      <c r="E504">
        <f>YEAR(agg_orders_daily_revenue[[#This Row],[Order_Date]])</f>
        <v>2025</v>
      </c>
      <c r="F504">
        <f>MONTH(agg_orders_daily_revenue[[#This Row],[Order_Date]])</f>
        <v>5</v>
      </c>
      <c r="G504" t="str">
        <f>TEXT(agg_orders_daily_revenue[[#This Row],[Order_Date]],"yyyy-mm")</f>
        <v>2025-05</v>
      </c>
      <c r="H504">
        <f>WEEKDAY(agg_orders_daily_revenue[[#This Row],[Order_Date]],2)</f>
        <v>6</v>
      </c>
      <c r="I504" t="str">
        <f>IF(OR(agg_orders_daily_revenue[[#This Row],[Weekday_Num]]=6, agg_orders_daily_revenue[[#This Row],[Weekday_Num]]=7), "Weekend", "Weekday")</f>
        <v>Weekend</v>
      </c>
      <c r="J504" t="str">
        <f>TEXT(agg_orders_daily_revenue[[#This Row],[Order_Date]], "ddd")</f>
        <v>Sat</v>
      </c>
    </row>
    <row r="505" spans="1:10" x14ac:dyDescent="0.4">
      <c r="A505" s="1">
        <v>45795</v>
      </c>
      <c r="B505">
        <v>494299</v>
      </c>
      <c r="C505">
        <v>497753.71</v>
      </c>
      <c r="D505">
        <v>411</v>
      </c>
      <c r="E505">
        <f>YEAR(agg_orders_daily_revenue[[#This Row],[Order_Date]])</f>
        <v>2025</v>
      </c>
      <c r="F505">
        <f>MONTH(agg_orders_daily_revenue[[#This Row],[Order_Date]])</f>
        <v>5</v>
      </c>
      <c r="G505" t="str">
        <f>TEXT(agg_orders_daily_revenue[[#This Row],[Order_Date]],"yyyy-mm")</f>
        <v>2025-05</v>
      </c>
      <c r="H505">
        <f>WEEKDAY(agg_orders_daily_revenue[[#This Row],[Order_Date]],2)</f>
        <v>7</v>
      </c>
      <c r="I505" t="str">
        <f>IF(OR(agg_orders_daily_revenue[[#This Row],[Weekday_Num]]=6, agg_orders_daily_revenue[[#This Row],[Weekday_Num]]=7), "Weekend", "Weekday")</f>
        <v>Weekend</v>
      </c>
      <c r="J505" t="str">
        <f>TEXT(agg_orders_daily_revenue[[#This Row],[Order_Date]], "ddd")</f>
        <v>Sun</v>
      </c>
    </row>
    <row r="506" spans="1:10" x14ac:dyDescent="0.4">
      <c r="A506" s="1">
        <v>45796</v>
      </c>
      <c r="B506">
        <v>526290</v>
      </c>
      <c r="C506">
        <v>503568.71</v>
      </c>
      <c r="D506">
        <v>432</v>
      </c>
      <c r="E506">
        <f>YEAR(agg_orders_daily_revenue[[#This Row],[Order_Date]])</f>
        <v>2025</v>
      </c>
      <c r="F506">
        <f>MONTH(agg_orders_daily_revenue[[#This Row],[Order_Date]])</f>
        <v>5</v>
      </c>
      <c r="G506" t="str">
        <f>TEXT(agg_orders_daily_revenue[[#This Row],[Order_Date]],"yyyy-mm")</f>
        <v>2025-05</v>
      </c>
      <c r="H506">
        <f>WEEKDAY(agg_orders_daily_revenue[[#This Row],[Order_Date]],2)</f>
        <v>1</v>
      </c>
      <c r="I506" t="str">
        <f>IF(OR(agg_orders_daily_revenue[[#This Row],[Weekday_Num]]=6, agg_orders_daily_revenue[[#This Row],[Weekday_Num]]=7), "Weekend", "Weekday")</f>
        <v>Weekday</v>
      </c>
      <c r="J506" t="str">
        <f>TEXT(agg_orders_daily_revenue[[#This Row],[Order_Date]], "ddd")</f>
        <v>Mon</v>
      </c>
    </row>
    <row r="507" spans="1:10" x14ac:dyDescent="0.4">
      <c r="A507" s="1">
        <v>45797</v>
      </c>
      <c r="B507">
        <v>466961</v>
      </c>
      <c r="C507">
        <v>501210.29</v>
      </c>
      <c r="D507">
        <v>400</v>
      </c>
      <c r="E507">
        <f>YEAR(agg_orders_daily_revenue[[#This Row],[Order_Date]])</f>
        <v>2025</v>
      </c>
      <c r="F507">
        <f>MONTH(agg_orders_daily_revenue[[#This Row],[Order_Date]])</f>
        <v>5</v>
      </c>
      <c r="G507" t="str">
        <f>TEXT(agg_orders_daily_revenue[[#This Row],[Order_Date]],"yyyy-mm")</f>
        <v>2025-05</v>
      </c>
      <c r="H507">
        <f>WEEKDAY(agg_orders_daily_revenue[[#This Row],[Order_Date]],2)</f>
        <v>2</v>
      </c>
      <c r="I507" t="str">
        <f>IF(OR(agg_orders_daily_revenue[[#This Row],[Weekday_Num]]=6, agg_orders_daily_revenue[[#This Row],[Weekday_Num]]=7), "Weekend", "Weekday")</f>
        <v>Weekday</v>
      </c>
      <c r="J507" t="str">
        <f>TEXT(agg_orders_daily_revenue[[#This Row],[Order_Date]], "ddd")</f>
        <v>Tue</v>
      </c>
    </row>
    <row r="508" spans="1:10" x14ac:dyDescent="0.4">
      <c r="A508" s="1">
        <v>45798</v>
      </c>
      <c r="B508">
        <v>547640</v>
      </c>
      <c r="C508">
        <v>501607</v>
      </c>
      <c r="D508">
        <v>432</v>
      </c>
      <c r="E508">
        <f>YEAR(agg_orders_daily_revenue[[#This Row],[Order_Date]])</f>
        <v>2025</v>
      </c>
      <c r="F508">
        <f>MONTH(agg_orders_daily_revenue[[#This Row],[Order_Date]])</f>
        <v>5</v>
      </c>
      <c r="G508" t="str">
        <f>TEXT(agg_orders_daily_revenue[[#This Row],[Order_Date]],"yyyy-mm")</f>
        <v>2025-05</v>
      </c>
      <c r="H508">
        <f>WEEKDAY(agg_orders_daily_revenue[[#This Row],[Order_Date]],2)</f>
        <v>3</v>
      </c>
      <c r="I508" t="str">
        <f>IF(OR(agg_orders_daily_revenue[[#This Row],[Weekday_Num]]=6, agg_orders_daily_revenue[[#This Row],[Weekday_Num]]=7), "Weekend", "Weekday")</f>
        <v>Weekday</v>
      </c>
      <c r="J508" t="str">
        <f>TEXT(agg_orders_daily_revenue[[#This Row],[Order_Date]], "ddd")</f>
        <v>Wed</v>
      </c>
    </row>
    <row r="509" spans="1:10" x14ac:dyDescent="0.4">
      <c r="A509" s="1">
        <v>45799</v>
      </c>
      <c r="B509">
        <v>568204</v>
      </c>
      <c r="C509">
        <v>511483.86</v>
      </c>
      <c r="D509">
        <v>442</v>
      </c>
      <c r="E509">
        <f>YEAR(agg_orders_daily_revenue[[#This Row],[Order_Date]])</f>
        <v>2025</v>
      </c>
      <c r="F509">
        <f>MONTH(agg_orders_daily_revenue[[#This Row],[Order_Date]])</f>
        <v>5</v>
      </c>
      <c r="G509" t="str">
        <f>TEXT(agg_orders_daily_revenue[[#This Row],[Order_Date]],"yyyy-mm")</f>
        <v>2025-05</v>
      </c>
      <c r="H509">
        <f>WEEKDAY(agg_orders_daily_revenue[[#This Row],[Order_Date]],2)</f>
        <v>4</v>
      </c>
      <c r="I509" t="str">
        <f>IF(OR(agg_orders_daily_revenue[[#This Row],[Weekday_Num]]=6, agg_orders_daily_revenue[[#This Row],[Weekday_Num]]=7), "Weekend", "Weekday")</f>
        <v>Weekday</v>
      </c>
      <c r="J509" t="str">
        <f>TEXT(agg_orders_daily_revenue[[#This Row],[Order_Date]], "ddd")</f>
        <v>Thu</v>
      </c>
    </row>
    <row r="510" spans="1:10" x14ac:dyDescent="0.4">
      <c r="A510" s="1">
        <v>45800</v>
      </c>
      <c r="B510">
        <v>499939</v>
      </c>
      <c r="C510">
        <v>512901.71</v>
      </c>
      <c r="D510">
        <v>417</v>
      </c>
      <c r="E510">
        <f>YEAR(agg_orders_daily_revenue[[#This Row],[Order_Date]])</f>
        <v>2025</v>
      </c>
      <c r="F510">
        <f>MONTH(agg_orders_daily_revenue[[#This Row],[Order_Date]])</f>
        <v>5</v>
      </c>
      <c r="G510" t="str">
        <f>TEXT(agg_orders_daily_revenue[[#This Row],[Order_Date]],"yyyy-mm")</f>
        <v>2025-05</v>
      </c>
      <c r="H510">
        <f>WEEKDAY(agg_orders_daily_revenue[[#This Row],[Order_Date]],2)</f>
        <v>5</v>
      </c>
      <c r="I510" t="str">
        <f>IF(OR(agg_orders_daily_revenue[[#This Row],[Weekday_Num]]=6, agg_orders_daily_revenue[[#This Row],[Weekday_Num]]=7), "Weekend", "Weekday")</f>
        <v>Weekday</v>
      </c>
      <c r="J510" t="str">
        <f>TEXT(agg_orders_daily_revenue[[#This Row],[Order_Date]], "ddd")</f>
        <v>Fri</v>
      </c>
    </row>
    <row r="511" spans="1:10" x14ac:dyDescent="0.4">
      <c r="A511" s="1">
        <v>45801</v>
      </c>
      <c r="B511">
        <v>485183</v>
      </c>
      <c r="C511">
        <v>512645.14</v>
      </c>
      <c r="D511">
        <v>381</v>
      </c>
      <c r="E511">
        <f>YEAR(agg_orders_daily_revenue[[#This Row],[Order_Date]])</f>
        <v>2025</v>
      </c>
      <c r="F511">
        <f>MONTH(agg_orders_daily_revenue[[#This Row],[Order_Date]])</f>
        <v>5</v>
      </c>
      <c r="G511" t="str">
        <f>TEXT(agg_orders_daily_revenue[[#This Row],[Order_Date]],"yyyy-mm")</f>
        <v>2025-05</v>
      </c>
      <c r="H511">
        <f>WEEKDAY(agg_orders_daily_revenue[[#This Row],[Order_Date]],2)</f>
        <v>6</v>
      </c>
      <c r="I511" t="str">
        <f>IF(OR(agg_orders_daily_revenue[[#This Row],[Weekday_Num]]=6, agg_orders_daily_revenue[[#This Row],[Weekday_Num]]=7), "Weekend", "Weekday")</f>
        <v>Weekend</v>
      </c>
      <c r="J511" t="str">
        <f>TEXT(agg_orders_daily_revenue[[#This Row],[Order_Date]], "ddd")</f>
        <v>Sat</v>
      </c>
    </row>
    <row r="512" spans="1:10" x14ac:dyDescent="0.4">
      <c r="A512" s="1">
        <v>45802</v>
      </c>
      <c r="B512">
        <v>520291</v>
      </c>
      <c r="C512">
        <v>516358.29</v>
      </c>
      <c r="D512">
        <v>438</v>
      </c>
      <c r="E512">
        <f>YEAR(agg_orders_daily_revenue[[#This Row],[Order_Date]])</f>
        <v>2025</v>
      </c>
      <c r="F512">
        <f>MONTH(agg_orders_daily_revenue[[#This Row],[Order_Date]])</f>
        <v>5</v>
      </c>
      <c r="G512" t="str">
        <f>TEXT(agg_orders_daily_revenue[[#This Row],[Order_Date]],"yyyy-mm")</f>
        <v>2025-05</v>
      </c>
      <c r="H512">
        <f>WEEKDAY(agg_orders_daily_revenue[[#This Row],[Order_Date]],2)</f>
        <v>7</v>
      </c>
      <c r="I512" t="str">
        <f>IF(OR(agg_orders_daily_revenue[[#This Row],[Weekday_Num]]=6, agg_orders_daily_revenue[[#This Row],[Weekday_Num]]=7), "Weekend", "Weekday")</f>
        <v>Weekend</v>
      </c>
      <c r="J512" t="str">
        <f>TEXT(agg_orders_daily_revenue[[#This Row],[Order_Date]], "ddd")</f>
        <v>Sun</v>
      </c>
    </row>
    <row r="513" spans="1:10" x14ac:dyDescent="0.4">
      <c r="A513" s="1">
        <v>45803</v>
      </c>
      <c r="B513">
        <v>481699</v>
      </c>
      <c r="C513">
        <v>509988.14</v>
      </c>
      <c r="D513">
        <v>374</v>
      </c>
      <c r="E513">
        <f>YEAR(agg_orders_daily_revenue[[#This Row],[Order_Date]])</f>
        <v>2025</v>
      </c>
      <c r="F513">
        <f>MONTH(agg_orders_daily_revenue[[#This Row],[Order_Date]])</f>
        <v>5</v>
      </c>
      <c r="G513" t="str">
        <f>TEXT(agg_orders_daily_revenue[[#This Row],[Order_Date]],"yyyy-mm")</f>
        <v>2025-05</v>
      </c>
      <c r="H513">
        <f>WEEKDAY(agg_orders_daily_revenue[[#This Row],[Order_Date]],2)</f>
        <v>1</v>
      </c>
      <c r="I513" t="str">
        <f>IF(OR(agg_orders_daily_revenue[[#This Row],[Weekday_Num]]=6, agg_orders_daily_revenue[[#This Row],[Weekday_Num]]=7), "Weekend", "Weekday")</f>
        <v>Weekday</v>
      </c>
      <c r="J513" t="str">
        <f>TEXT(agg_orders_daily_revenue[[#This Row],[Order_Date]], "ddd")</f>
        <v>Mon</v>
      </c>
    </row>
    <row r="514" spans="1:10" x14ac:dyDescent="0.4">
      <c r="A514" s="1">
        <v>45804</v>
      </c>
      <c r="B514">
        <v>457143</v>
      </c>
      <c r="C514">
        <v>508585.57</v>
      </c>
      <c r="D514">
        <v>381</v>
      </c>
      <c r="E514">
        <f>YEAR(agg_orders_daily_revenue[[#This Row],[Order_Date]])</f>
        <v>2025</v>
      </c>
      <c r="F514">
        <f>MONTH(agg_orders_daily_revenue[[#This Row],[Order_Date]])</f>
        <v>5</v>
      </c>
      <c r="G514" t="str">
        <f>TEXT(agg_orders_daily_revenue[[#This Row],[Order_Date]],"yyyy-mm")</f>
        <v>2025-05</v>
      </c>
      <c r="H514">
        <f>WEEKDAY(agg_orders_daily_revenue[[#This Row],[Order_Date]],2)</f>
        <v>2</v>
      </c>
      <c r="I514" t="str">
        <f>IF(OR(agg_orders_daily_revenue[[#This Row],[Weekday_Num]]=6, agg_orders_daily_revenue[[#This Row],[Weekday_Num]]=7), "Weekend", "Weekday")</f>
        <v>Weekday</v>
      </c>
      <c r="J514" t="str">
        <f>TEXT(agg_orders_daily_revenue[[#This Row],[Order_Date]], "ddd")</f>
        <v>Tue</v>
      </c>
    </row>
    <row r="515" spans="1:10" x14ac:dyDescent="0.4">
      <c r="A515" s="1">
        <v>45805</v>
      </c>
      <c r="B515">
        <v>499081</v>
      </c>
      <c r="C515">
        <v>501648.57</v>
      </c>
      <c r="D515">
        <v>395</v>
      </c>
      <c r="E515">
        <f>YEAR(agg_orders_daily_revenue[[#This Row],[Order_Date]])</f>
        <v>2025</v>
      </c>
      <c r="F515">
        <f>MONTH(agg_orders_daily_revenue[[#This Row],[Order_Date]])</f>
        <v>5</v>
      </c>
      <c r="G515" t="str">
        <f>TEXT(agg_orders_daily_revenue[[#This Row],[Order_Date]],"yyyy-mm")</f>
        <v>2025-05</v>
      </c>
      <c r="H515">
        <f>WEEKDAY(agg_orders_daily_revenue[[#This Row],[Order_Date]],2)</f>
        <v>3</v>
      </c>
      <c r="I515" t="str">
        <f>IF(OR(agg_orders_daily_revenue[[#This Row],[Weekday_Num]]=6, agg_orders_daily_revenue[[#This Row],[Weekday_Num]]=7), "Weekend", "Weekday")</f>
        <v>Weekday</v>
      </c>
      <c r="J515" t="str">
        <f>TEXT(agg_orders_daily_revenue[[#This Row],[Order_Date]], "ddd")</f>
        <v>Wed</v>
      </c>
    </row>
    <row r="516" spans="1:10" x14ac:dyDescent="0.4">
      <c r="A516" s="1">
        <v>45806</v>
      </c>
      <c r="B516">
        <v>501085</v>
      </c>
      <c r="C516">
        <v>492060.14</v>
      </c>
      <c r="D516">
        <v>407</v>
      </c>
      <c r="E516">
        <f>YEAR(agg_orders_daily_revenue[[#This Row],[Order_Date]])</f>
        <v>2025</v>
      </c>
      <c r="F516">
        <f>MONTH(agg_orders_daily_revenue[[#This Row],[Order_Date]])</f>
        <v>5</v>
      </c>
      <c r="G516" t="str">
        <f>TEXT(agg_orders_daily_revenue[[#This Row],[Order_Date]],"yyyy-mm")</f>
        <v>2025-05</v>
      </c>
      <c r="H516">
        <f>WEEKDAY(agg_orders_daily_revenue[[#This Row],[Order_Date]],2)</f>
        <v>4</v>
      </c>
      <c r="I516" t="str">
        <f>IF(OR(agg_orders_daily_revenue[[#This Row],[Weekday_Num]]=6, agg_orders_daily_revenue[[#This Row],[Weekday_Num]]=7), "Weekend", "Weekday")</f>
        <v>Weekday</v>
      </c>
      <c r="J516" t="str">
        <f>TEXT(agg_orders_daily_revenue[[#This Row],[Order_Date]], "ddd")</f>
        <v>Thu</v>
      </c>
    </row>
    <row r="517" spans="1:10" x14ac:dyDescent="0.4">
      <c r="A517" s="1">
        <v>45807</v>
      </c>
      <c r="B517">
        <v>498644</v>
      </c>
      <c r="C517">
        <v>491875.14</v>
      </c>
      <c r="D517">
        <v>401</v>
      </c>
      <c r="E517">
        <f>YEAR(agg_orders_daily_revenue[[#This Row],[Order_Date]])</f>
        <v>2025</v>
      </c>
      <c r="F517">
        <f>MONTH(agg_orders_daily_revenue[[#This Row],[Order_Date]])</f>
        <v>5</v>
      </c>
      <c r="G517" t="str">
        <f>TEXT(agg_orders_daily_revenue[[#This Row],[Order_Date]],"yyyy-mm")</f>
        <v>2025-05</v>
      </c>
      <c r="H517">
        <f>WEEKDAY(agg_orders_daily_revenue[[#This Row],[Order_Date]],2)</f>
        <v>5</v>
      </c>
      <c r="I517" t="str">
        <f>IF(OR(agg_orders_daily_revenue[[#This Row],[Weekday_Num]]=6, agg_orders_daily_revenue[[#This Row],[Weekday_Num]]=7), "Weekend", "Weekday")</f>
        <v>Weekday</v>
      </c>
      <c r="J517" t="str">
        <f>TEXT(agg_orders_daily_revenue[[#This Row],[Order_Date]], "ddd")</f>
        <v>Fri</v>
      </c>
    </row>
    <row r="518" spans="1:10" x14ac:dyDescent="0.4">
      <c r="A518" s="1">
        <v>45808</v>
      </c>
      <c r="B518">
        <v>523553</v>
      </c>
      <c r="C518">
        <v>497356.57</v>
      </c>
      <c r="D518">
        <v>418</v>
      </c>
      <c r="E518">
        <f>YEAR(agg_orders_daily_revenue[[#This Row],[Order_Date]])</f>
        <v>2025</v>
      </c>
      <c r="F518">
        <f>MONTH(agg_orders_daily_revenue[[#This Row],[Order_Date]])</f>
        <v>5</v>
      </c>
      <c r="G518" t="str">
        <f>TEXT(agg_orders_daily_revenue[[#This Row],[Order_Date]],"yyyy-mm")</f>
        <v>2025-05</v>
      </c>
      <c r="H518">
        <f>WEEKDAY(agg_orders_daily_revenue[[#This Row],[Order_Date]],2)</f>
        <v>6</v>
      </c>
      <c r="I518" t="str">
        <f>IF(OR(agg_orders_daily_revenue[[#This Row],[Weekday_Num]]=6, agg_orders_daily_revenue[[#This Row],[Weekday_Num]]=7), "Weekend", "Weekday")</f>
        <v>Weekend</v>
      </c>
      <c r="J518" t="str">
        <f>TEXT(agg_orders_daily_revenue[[#This Row],[Order_Date]], "ddd")</f>
        <v>Sat</v>
      </c>
    </row>
    <row r="519" spans="1:10" x14ac:dyDescent="0.4">
      <c r="A519" s="1">
        <v>45809</v>
      </c>
      <c r="B519">
        <v>534234</v>
      </c>
      <c r="C519">
        <v>499348.43</v>
      </c>
      <c r="D519">
        <v>411</v>
      </c>
      <c r="E519">
        <f>YEAR(agg_orders_daily_revenue[[#This Row],[Order_Date]])</f>
        <v>2025</v>
      </c>
      <c r="F519">
        <f>MONTH(agg_orders_daily_revenue[[#This Row],[Order_Date]])</f>
        <v>6</v>
      </c>
      <c r="G519" t="str">
        <f>TEXT(agg_orders_daily_revenue[[#This Row],[Order_Date]],"yyyy-mm")</f>
        <v>2025-06</v>
      </c>
      <c r="H519">
        <f>WEEKDAY(agg_orders_daily_revenue[[#This Row],[Order_Date]],2)</f>
        <v>7</v>
      </c>
      <c r="I519" t="str">
        <f>IF(OR(agg_orders_daily_revenue[[#This Row],[Weekday_Num]]=6, agg_orders_daily_revenue[[#This Row],[Weekday_Num]]=7), "Weekend", "Weekday")</f>
        <v>Weekend</v>
      </c>
      <c r="J519" t="str">
        <f>TEXT(agg_orders_daily_revenue[[#This Row],[Order_Date]], "ddd")</f>
        <v>Sun</v>
      </c>
    </row>
    <row r="520" spans="1:10" x14ac:dyDescent="0.4">
      <c r="A520" s="1">
        <v>45810</v>
      </c>
      <c r="B520">
        <v>487254</v>
      </c>
      <c r="C520">
        <v>500142</v>
      </c>
      <c r="D520">
        <v>395</v>
      </c>
      <c r="E520">
        <f>YEAR(agg_orders_daily_revenue[[#This Row],[Order_Date]])</f>
        <v>2025</v>
      </c>
      <c r="F520">
        <f>MONTH(agg_orders_daily_revenue[[#This Row],[Order_Date]])</f>
        <v>6</v>
      </c>
      <c r="G520" t="str">
        <f>TEXT(agg_orders_daily_revenue[[#This Row],[Order_Date]],"yyyy-mm")</f>
        <v>2025-06</v>
      </c>
      <c r="H520">
        <f>WEEKDAY(agg_orders_daily_revenue[[#This Row],[Order_Date]],2)</f>
        <v>1</v>
      </c>
      <c r="I520" t="str">
        <f>IF(OR(agg_orders_daily_revenue[[#This Row],[Weekday_Num]]=6, agg_orders_daily_revenue[[#This Row],[Weekday_Num]]=7), "Weekend", "Weekday")</f>
        <v>Weekday</v>
      </c>
      <c r="J520" t="str">
        <f>TEXT(agg_orders_daily_revenue[[#This Row],[Order_Date]], "ddd")</f>
        <v>Mon</v>
      </c>
    </row>
    <row r="521" spans="1:10" x14ac:dyDescent="0.4">
      <c r="A521" s="1">
        <v>45811</v>
      </c>
      <c r="B521">
        <v>570464</v>
      </c>
      <c r="C521">
        <v>516330.71</v>
      </c>
      <c r="D521">
        <v>452</v>
      </c>
      <c r="E521">
        <f>YEAR(agg_orders_daily_revenue[[#This Row],[Order_Date]])</f>
        <v>2025</v>
      </c>
      <c r="F521">
        <f>MONTH(agg_orders_daily_revenue[[#This Row],[Order_Date]])</f>
        <v>6</v>
      </c>
      <c r="G521" t="str">
        <f>TEXT(agg_orders_daily_revenue[[#This Row],[Order_Date]],"yyyy-mm")</f>
        <v>2025-06</v>
      </c>
      <c r="H521">
        <f>WEEKDAY(agg_orders_daily_revenue[[#This Row],[Order_Date]],2)</f>
        <v>2</v>
      </c>
      <c r="I521" t="str">
        <f>IF(OR(agg_orders_daily_revenue[[#This Row],[Weekday_Num]]=6, agg_orders_daily_revenue[[#This Row],[Weekday_Num]]=7), "Weekend", "Weekday")</f>
        <v>Weekday</v>
      </c>
      <c r="J521" t="str">
        <f>TEXT(agg_orders_daily_revenue[[#This Row],[Order_Date]], "ddd")</f>
        <v>Tue</v>
      </c>
    </row>
    <row r="522" spans="1:10" x14ac:dyDescent="0.4">
      <c r="A522" s="1">
        <v>45812</v>
      </c>
      <c r="B522">
        <v>451255</v>
      </c>
      <c r="C522">
        <v>509498.43</v>
      </c>
      <c r="D522">
        <v>371</v>
      </c>
      <c r="E522">
        <f>YEAR(agg_orders_daily_revenue[[#This Row],[Order_Date]])</f>
        <v>2025</v>
      </c>
      <c r="F522">
        <f>MONTH(agg_orders_daily_revenue[[#This Row],[Order_Date]])</f>
        <v>6</v>
      </c>
      <c r="G522" t="str">
        <f>TEXT(agg_orders_daily_revenue[[#This Row],[Order_Date]],"yyyy-mm")</f>
        <v>2025-06</v>
      </c>
      <c r="H522">
        <f>WEEKDAY(agg_orders_daily_revenue[[#This Row],[Order_Date]],2)</f>
        <v>3</v>
      </c>
      <c r="I522" t="str">
        <f>IF(OR(agg_orders_daily_revenue[[#This Row],[Weekday_Num]]=6, agg_orders_daily_revenue[[#This Row],[Weekday_Num]]=7), "Weekend", "Weekday")</f>
        <v>Weekday</v>
      </c>
      <c r="J522" t="str">
        <f>TEXT(agg_orders_daily_revenue[[#This Row],[Order_Date]], "ddd")</f>
        <v>Wed</v>
      </c>
    </row>
    <row r="523" spans="1:10" x14ac:dyDescent="0.4">
      <c r="A523" s="1">
        <v>45813</v>
      </c>
      <c r="B523">
        <v>504117</v>
      </c>
      <c r="C523">
        <v>509931.57</v>
      </c>
      <c r="D523">
        <v>415</v>
      </c>
      <c r="E523">
        <f>YEAR(agg_orders_daily_revenue[[#This Row],[Order_Date]])</f>
        <v>2025</v>
      </c>
      <c r="F523">
        <f>MONTH(agg_orders_daily_revenue[[#This Row],[Order_Date]])</f>
        <v>6</v>
      </c>
      <c r="G523" t="str">
        <f>TEXT(agg_orders_daily_revenue[[#This Row],[Order_Date]],"yyyy-mm")</f>
        <v>2025-06</v>
      </c>
      <c r="H523">
        <f>WEEKDAY(agg_orders_daily_revenue[[#This Row],[Order_Date]],2)</f>
        <v>4</v>
      </c>
      <c r="I523" t="str">
        <f>IF(OR(agg_orders_daily_revenue[[#This Row],[Weekday_Num]]=6, agg_orders_daily_revenue[[#This Row],[Weekday_Num]]=7), "Weekend", "Weekday")</f>
        <v>Weekday</v>
      </c>
      <c r="J523" t="str">
        <f>TEXT(agg_orders_daily_revenue[[#This Row],[Order_Date]], "ddd")</f>
        <v>Thu</v>
      </c>
    </row>
    <row r="524" spans="1:10" x14ac:dyDescent="0.4">
      <c r="A524" s="1">
        <v>45814</v>
      </c>
      <c r="B524">
        <v>503672</v>
      </c>
      <c r="C524">
        <v>510649.86</v>
      </c>
      <c r="D524">
        <v>396</v>
      </c>
      <c r="E524">
        <f>YEAR(agg_orders_daily_revenue[[#This Row],[Order_Date]])</f>
        <v>2025</v>
      </c>
      <c r="F524">
        <f>MONTH(agg_orders_daily_revenue[[#This Row],[Order_Date]])</f>
        <v>6</v>
      </c>
      <c r="G524" t="str">
        <f>TEXT(agg_orders_daily_revenue[[#This Row],[Order_Date]],"yyyy-mm")</f>
        <v>2025-06</v>
      </c>
      <c r="H524">
        <f>WEEKDAY(agg_orders_daily_revenue[[#This Row],[Order_Date]],2)</f>
        <v>5</v>
      </c>
      <c r="I524" t="str">
        <f>IF(OR(agg_orders_daily_revenue[[#This Row],[Weekday_Num]]=6, agg_orders_daily_revenue[[#This Row],[Weekday_Num]]=7), "Weekend", "Weekday")</f>
        <v>Weekday</v>
      </c>
      <c r="J524" t="str">
        <f>TEXT(agg_orders_daily_revenue[[#This Row],[Order_Date]], "ddd")</f>
        <v>Fri</v>
      </c>
    </row>
    <row r="525" spans="1:10" x14ac:dyDescent="0.4">
      <c r="A525" s="1">
        <v>45815</v>
      </c>
      <c r="B525">
        <v>507391</v>
      </c>
      <c r="C525">
        <v>508341</v>
      </c>
      <c r="D525">
        <v>385</v>
      </c>
      <c r="E525">
        <f>YEAR(agg_orders_daily_revenue[[#This Row],[Order_Date]])</f>
        <v>2025</v>
      </c>
      <c r="F525">
        <f>MONTH(agg_orders_daily_revenue[[#This Row],[Order_Date]])</f>
        <v>6</v>
      </c>
      <c r="G525" t="str">
        <f>TEXT(agg_orders_daily_revenue[[#This Row],[Order_Date]],"yyyy-mm")</f>
        <v>2025-06</v>
      </c>
      <c r="H525">
        <f>WEEKDAY(agg_orders_daily_revenue[[#This Row],[Order_Date]],2)</f>
        <v>6</v>
      </c>
      <c r="I525" t="str">
        <f>IF(OR(agg_orders_daily_revenue[[#This Row],[Weekday_Num]]=6, agg_orders_daily_revenue[[#This Row],[Weekday_Num]]=7), "Weekend", "Weekday")</f>
        <v>Weekend</v>
      </c>
      <c r="J525" t="str">
        <f>TEXT(agg_orders_daily_revenue[[#This Row],[Order_Date]], "ddd")</f>
        <v>Sat</v>
      </c>
    </row>
    <row r="526" spans="1:10" x14ac:dyDescent="0.4">
      <c r="A526" s="1">
        <v>45816</v>
      </c>
      <c r="B526">
        <v>490266</v>
      </c>
      <c r="C526">
        <v>502059.86</v>
      </c>
      <c r="D526">
        <v>408</v>
      </c>
      <c r="E526">
        <f>YEAR(agg_orders_daily_revenue[[#This Row],[Order_Date]])</f>
        <v>2025</v>
      </c>
      <c r="F526">
        <f>MONTH(agg_orders_daily_revenue[[#This Row],[Order_Date]])</f>
        <v>6</v>
      </c>
      <c r="G526" t="str">
        <f>TEXT(agg_orders_daily_revenue[[#This Row],[Order_Date]],"yyyy-mm")</f>
        <v>2025-06</v>
      </c>
      <c r="H526">
        <f>WEEKDAY(agg_orders_daily_revenue[[#This Row],[Order_Date]],2)</f>
        <v>7</v>
      </c>
      <c r="I526" t="str">
        <f>IF(OR(agg_orders_daily_revenue[[#This Row],[Weekday_Num]]=6, agg_orders_daily_revenue[[#This Row],[Weekday_Num]]=7), "Weekend", "Weekday")</f>
        <v>Weekend</v>
      </c>
      <c r="J526" t="str">
        <f>TEXT(agg_orders_daily_revenue[[#This Row],[Order_Date]], "ddd")</f>
        <v>Sun</v>
      </c>
    </row>
    <row r="527" spans="1:10" x14ac:dyDescent="0.4">
      <c r="A527" s="1">
        <v>45817</v>
      </c>
      <c r="B527">
        <v>546792</v>
      </c>
      <c r="C527">
        <v>510565.29</v>
      </c>
      <c r="D527">
        <v>423</v>
      </c>
      <c r="E527">
        <f>YEAR(agg_orders_daily_revenue[[#This Row],[Order_Date]])</f>
        <v>2025</v>
      </c>
      <c r="F527">
        <f>MONTH(agg_orders_daily_revenue[[#This Row],[Order_Date]])</f>
        <v>6</v>
      </c>
      <c r="G527" t="str">
        <f>TEXT(agg_orders_daily_revenue[[#This Row],[Order_Date]],"yyyy-mm")</f>
        <v>2025-06</v>
      </c>
      <c r="H527">
        <f>WEEKDAY(agg_orders_daily_revenue[[#This Row],[Order_Date]],2)</f>
        <v>1</v>
      </c>
      <c r="I527" t="str">
        <f>IF(OR(agg_orders_daily_revenue[[#This Row],[Weekday_Num]]=6, agg_orders_daily_revenue[[#This Row],[Weekday_Num]]=7), "Weekend", "Weekday")</f>
        <v>Weekday</v>
      </c>
      <c r="J527" t="str">
        <f>TEXT(agg_orders_daily_revenue[[#This Row],[Order_Date]], "ddd")</f>
        <v>Mon</v>
      </c>
    </row>
    <row r="528" spans="1:10" x14ac:dyDescent="0.4">
      <c r="A528" s="1">
        <v>45818</v>
      </c>
      <c r="B528">
        <v>508411</v>
      </c>
      <c r="C528">
        <v>501700.57</v>
      </c>
      <c r="D528">
        <v>407</v>
      </c>
      <c r="E528">
        <f>YEAR(agg_orders_daily_revenue[[#This Row],[Order_Date]])</f>
        <v>2025</v>
      </c>
      <c r="F528">
        <f>MONTH(agg_orders_daily_revenue[[#This Row],[Order_Date]])</f>
        <v>6</v>
      </c>
      <c r="G528" t="str">
        <f>TEXT(agg_orders_daily_revenue[[#This Row],[Order_Date]],"yyyy-mm")</f>
        <v>2025-06</v>
      </c>
      <c r="H528">
        <f>WEEKDAY(agg_orders_daily_revenue[[#This Row],[Order_Date]],2)</f>
        <v>2</v>
      </c>
      <c r="I528" t="str">
        <f>IF(OR(agg_orders_daily_revenue[[#This Row],[Weekday_Num]]=6, agg_orders_daily_revenue[[#This Row],[Weekday_Num]]=7), "Weekend", "Weekday")</f>
        <v>Weekday</v>
      </c>
      <c r="J528" t="str">
        <f>TEXT(agg_orders_daily_revenue[[#This Row],[Order_Date]], "ddd")</f>
        <v>Tue</v>
      </c>
    </row>
    <row r="529" spans="1:10" x14ac:dyDescent="0.4">
      <c r="A529" s="1">
        <v>45819</v>
      </c>
      <c r="B529">
        <v>509640</v>
      </c>
      <c r="C529">
        <v>510041.29</v>
      </c>
      <c r="D529">
        <v>409</v>
      </c>
      <c r="E529">
        <f>YEAR(agg_orders_daily_revenue[[#This Row],[Order_Date]])</f>
        <v>2025</v>
      </c>
      <c r="F529">
        <f>MONTH(agg_orders_daily_revenue[[#This Row],[Order_Date]])</f>
        <v>6</v>
      </c>
      <c r="G529" t="str">
        <f>TEXT(agg_orders_daily_revenue[[#This Row],[Order_Date]],"yyyy-mm")</f>
        <v>2025-06</v>
      </c>
      <c r="H529">
        <f>WEEKDAY(agg_orders_daily_revenue[[#This Row],[Order_Date]],2)</f>
        <v>3</v>
      </c>
      <c r="I529" t="str">
        <f>IF(OR(agg_orders_daily_revenue[[#This Row],[Weekday_Num]]=6, agg_orders_daily_revenue[[#This Row],[Weekday_Num]]=7), "Weekend", "Weekday")</f>
        <v>Weekday</v>
      </c>
      <c r="J529" t="str">
        <f>TEXT(agg_orders_daily_revenue[[#This Row],[Order_Date]], "ddd")</f>
        <v>Wed</v>
      </c>
    </row>
    <row r="530" spans="1:10" x14ac:dyDescent="0.4">
      <c r="A530" s="1">
        <v>45820</v>
      </c>
      <c r="B530">
        <v>490646</v>
      </c>
      <c r="C530">
        <v>508116.86</v>
      </c>
      <c r="D530">
        <v>401</v>
      </c>
      <c r="E530">
        <f>YEAR(agg_orders_daily_revenue[[#This Row],[Order_Date]])</f>
        <v>2025</v>
      </c>
      <c r="F530">
        <f>MONTH(agg_orders_daily_revenue[[#This Row],[Order_Date]])</f>
        <v>6</v>
      </c>
      <c r="G530" t="str">
        <f>TEXT(agg_orders_daily_revenue[[#This Row],[Order_Date]],"yyyy-mm")</f>
        <v>2025-06</v>
      </c>
      <c r="H530">
        <f>WEEKDAY(agg_orders_daily_revenue[[#This Row],[Order_Date]],2)</f>
        <v>4</v>
      </c>
      <c r="I530" t="str">
        <f>IF(OR(agg_orders_daily_revenue[[#This Row],[Weekday_Num]]=6, agg_orders_daily_revenue[[#This Row],[Weekday_Num]]=7), "Weekend", "Weekday")</f>
        <v>Weekday</v>
      </c>
      <c r="J530" t="str">
        <f>TEXT(agg_orders_daily_revenue[[#This Row],[Order_Date]], "ddd")</f>
        <v>Thu</v>
      </c>
    </row>
    <row r="531" spans="1:10" x14ac:dyDescent="0.4">
      <c r="A531" s="1">
        <v>45821</v>
      </c>
      <c r="B531">
        <v>524342</v>
      </c>
      <c r="C531">
        <v>511069.71</v>
      </c>
      <c r="D531">
        <v>416</v>
      </c>
      <c r="E531">
        <f>YEAR(agg_orders_daily_revenue[[#This Row],[Order_Date]])</f>
        <v>2025</v>
      </c>
      <c r="F531">
        <f>MONTH(agg_orders_daily_revenue[[#This Row],[Order_Date]])</f>
        <v>6</v>
      </c>
      <c r="G531" t="str">
        <f>TEXT(agg_orders_daily_revenue[[#This Row],[Order_Date]],"yyyy-mm")</f>
        <v>2025-06</v>
      </c>
      <c r="H531">
        <f>WEEKDAY(agg_orders_daily_revenue[[#This Row],[Order_Date]],2)</f>
        <v>5</v>
      </c>
      <c r="I531" t="str">
        <f>IF(OR(agg_orders_daily_revenue[[#This Row],[Weekday_Num]]=6, agg_orders_daily_revenue[[#This Row],[Weekday_Num]]=7), "Weekend", "Weekday")</f>
        <v>Weekday</v>
      </c>
      <c r="J531" t="str">
        <f>TEXT(agg_orders_daily_revenue[[#This Row],[Order_Date]], "ddd")</f>
        <v>Fri</v>
      </c>
    </row>
    <row r="532" spans="1:10" x14ac:dyDescent="0.4">
      <c r="A532" s="1">
        <v>45822</v>
      </c>
      <c r="B532">
        <v>515338</v>
      </c>
      <c r="C532">
        <v>512205</v>
      </c>
      <c r="D532">
        <v>407</v>
      </c>
      <c r="E532">
        <f>YEAR(agg_orders_daily_revenue[[#This Row],[Order_Date]])</f>
        <v>2025</v>
      </c>
      <c r="F532">
        <f>MONTH(agg_orders_daily_revenue[[#This Row],[Order_Date]])</f>
        <v>6</v>
      </c>
      <c r="G532" t="str">
        <f>TEXT(agg_orders_daily_revenue[[#This Row],[Order_Date]],"yyyy-mm")</f>
        <v>2025-06</v>
      </c>
      <c r="H532">
        <f>WEEKDAY(agg_orders_daily_revenue[[#This Row],[Order_Date]],2)</f>
        <v>6</v>
      </c>
      <c r="I532" t="str">
        <f>IF(OR(agg_orders_daily_revenue[[#This Row],[Weekday_Num]]=6, agg_orders_daily_revenue[[#This Row],[Weekday_Num]]=7), "Weekend", "Weekday")</f>
        <v>Weekend</v>
      </c>
      <c r="J532" t="str">
        <f>TEXT(agg_orders_daily_revenue[[#This Row],[Order_Date]], "ddd")</f>
        <v>Sat</v>
      </c>
    </row>
    <row r="533" spans="1:10" x14ac:dyDescent="0.4">
      <c r="A533" s="1">
        <v>45823</v>
      </c>
      <c r="B533">
        <v>515489</v>
      </c>
      <c r="C533">
        <v>515808.29</v>
      </c>
      <c r="D533">
        <v>426</v>
      </c>
      <c r="E533">
        <f>YEAR(agg_orders_daily_revenue[[#This Row],[Order_Date]])</f>
        <v>2025</v>
      </c>
      <c r="F533">
        <f>MONTH(agg_orders_daily_revenue[[#This Row],[Order_Date]])</f>
        <v>6</v>
      </c>
      <c r="G533" t="str">
        <f>TEXT(agg_orders_daily_revenue[[#This Row],[Order_Date]],"yyyy-mm")</f>
        <v>2025-06</v>
      </c>
      <c r="H533">
        <f>WEEKDAY(agg_orders_daily_revenue[[#This Row],[Order_Date]],2)</f>
        <v>7</v>
      </c>
      <c r="I533" t="str">
        <f>IF(OR(agg_orders_daily_revenue[[#This Row],[Weekday_Num]]=6, agg_orders_daily_revenue[[#This Row],[Weekday_Num]]=7), "Weekend", "Weekday")</f>
        <v>Weekend</v>
      </c>
      <c r="J533" t="str">
        <f>TEXT(agg_orders_daily_revenue[[#This Row],[Order_Date]], "ddd")</f>
        <v>Sun</v>
      </c>
    </row>
    <row r="534" spans="1:10" x14ac:dyDescent="0.4">
      <c r="A534" s="1">
        <v>45824</v>
      </c>
      <c r="B534">
        <v>552045</v>
      </c>
      <c r="C534">
        <v>516558.71</v>
      </c>
      <c r="D534">
        <v>439</v>
      </c>
      <c r="E534">
        <f>YEAR(agg_orders_daily_revenue[[#This Row],[Order_Date]])</f>
        <v>2025</v>
      </c>
      <c r="F534">
        <f>MONTH(agg_orders_daily_revenue[[#This Row],[Order_Date]])</f>
        <v>6</v>
      </c>
      <c r="G534" t="str">
        <f>TEXT(agg_orders_daily_revenue[[#This Row],[Order_Date]],"yyyy-mm")</f>
        <v>2025-06</v>
      </c>
      <c r="H534">
        <f>WEEKDAY(agg_orders_daily_revenue[[#This Row],[Order_Date]],2)</f>
        <v>1</v>
      </c>
      <c r="I534" t="str">
        <f>IF(OR(agg_orders_daily_revenue[[#This Row],[Weekday_Num]]=6, agg_orders_daily_revenue[[#This Row],[Weekday_Num]]=7), "Weekend", "Weekday")</f>
        <v>Weekday</v>
      </c>
      <c r="J534" t="str">
        <f>TEXT(agg_orders_daily_revenue[[#This Row],[Order_Date]], "ddd")</f>
        <v>Mon</v>
      </c>
    </row>
    <row r="535" spans="1:10" x14ac:dyDescent="0.4">
      <c r="A535" s="1">
        <v>45825</v>
      </c>
      <c r="B535">
        <v>531639</v>
      </c>
      <c r="C535">
        <v>519877</v>
      </c>
      <c r="D535">
        <v>433</v>
      </c>
      <c r="E535">
        <f>YEAR(agg_orders_daily_revenue[[#This Row],[Order_Date]])</f>
        <v>2025</v>
      </c>
      <c r="F535">
        <f>MONTH(agg_orders_daily_revenue[[#This Row],[Order_Date]])</f>
        <v>6</v>
      </c>
      <c r="G535" t="str">
        <f>TEXT(agg_orders_daily_revenue[[#This Row],[Order_Date]],"yyyy-mm")</f>
        <v>2025-06</v>
      </c>
      <c r="H535">
        <f>WEEKDAY(agg_orders_daily_revenue[[#This Row],[Order_Date]],2)</f>
        <v>2</v>
      </c>
      <c r="I535" t="str">
        <f>IF(OR(agg_orders_daily_revenue[[#This Row],[Weekday_Num]]=6, agg_orders_daily_revenue[[#This Row],[Weekday_Num]]=7), "Weekend", "Weekday")</f>
        <v>Weekday</v>
      </c>
      <c r="J535" t="str">
        <f>TEXT(agg_orders_daily_revenue[[#This Row],[Order_Date]], "ddd")</f>
        <v>Tue</v>
      </c>
    </row>
    <row r="536" spans="1:10" x14ac:dyDescent="0.4">
      <c r="A536" s="1">
        <v>45826</v>
      </c>
      <c r="B536">
        <v>503177</v>
      </c>
      <c r="C536">
        <v>518953.71</v>
      </c>
      <c r="D536">
        <v>380</v>
      </c>
      <c r="E536">
        <f>YEAR(agg_orders_daily_revenue[[#This Row],[Order_Date]])</f>
        <v>2025</v>
      </c>
      <c r="F536">
        <f>MONTH(agg_orders_daily_revenue[[#This Row],[Order_Date]])</f>
        <v>6</v>
      </c>
      <c r="G536" t="str">
        <f>TEXT(agg_orders_daily_revenue[[#This Row],[Order_Date]],"yyyy-mm")</f>
        <v>2025-06</v>
      </c>
      <c r="H536">
        <f>WEEKDAY(agg_orders_daily_revenue[[#This Row],[Order_Date]],2)</f>
        <v>3</v>
      </c>
      <c r="I536" t="str">
        <f>IF(OR(agg_orders_daily_revenue[[#This Row],[Weekday_Num]]=6, agg_orders_daily_revenue[[#This Row],[Weekday_Num]]=7), "Weekend", "Weekday")</f>
        <v>Weekday</v>
      </c>
      <c r="J536" t="str">
        <f>TEXT(agg_orders_daily_revenue[[#This Row],[Order_Date]], "ddd")</f>
        <v>Wed</v>
      </c>
    </row>
    <row r="537" spans="1:10" x14ac:dyDescent="0.4">
      <c r="A537" s="1">
        <v>45827</v>
      </c>
      <c r="B537">
        <v>551257</v>
      </c>
      <c r="C537">
        <v>527612.43000000005</v>
      </c>
      <c r="D537">
        <v>422</v>
      </c>
      <c r="E537">
        <f>YEAR(agg_orders_daily_revenue[[#This Row],[Order_Date]])</f>
        <v>2025</v>
      </c>
      <c r="F537">
        <f>MONTH(agg_orders_daily_revenue[[#This Row],[Order_Date]])</f>
        <v>6</v>
      </c>
      <c r="G537" t="str">
        <f>TEXT(agg_orders_daily_revenue[[#This Row],[Order_Date]],"yyyy-mm")</f>
        <v>2025-06</v>
      </c>
      <c r="H537">
        <f>WEEKDAY(agg_orders_daily_revenue[[#This Row],[Order_Date]],2)</f>
        <v>4</v>
      </c>
      <c r="I537" t="str">
        <f>IF(OR(agg_orders_daily_revenue[[#This Row],[Weekday_Num]]=6, agg_orders_daily_revenue[[#This Row],[Weekday_Num]]=7), "Weekend", "Weekday")</f>
        <v>Weekday</v>
      </c>
      <c r="J537" t="str">
        <f>TEXT(agg_orders_daily_revenue[[#This Row],[Order_Date]], "ddd")</f>
        <v>Thu</v>
      </c>
    </row>
    <row r="538" spans="1:10" x14ac:dyDescent="0.4">
      <c r="A538" s="1">
        <v>45828</v>
      </c>
      <c r="B538">
        <v>482076</v>
      </c>
      <c r="C538">
        <v>521574.43</v>
      </c>
      <c r="D538">
        <v>398</v>
      </c>
      <c r="E538">
        <f>YEAR(agg_orders_daily_revenue[[#This Row],[Order_Date]])</f>
        <v>2025</v>
      </c>
      <c r="F538">
        <f>MONTH(agg_orders_daily_revenue[[#This Row],[Order_Date]])</f>
        <v>6</v>
      </c>
      <c r="G538" t="str">
        <f>TEXT(agg_orders_daily_revenue[[#This Row],[Order_Date]],"yyyy-mm")</f>
        <v>2025-06</v>
      </c>
      <c r="H538">
        <f>WEEKDAY(agg_orders_daily_revenue[[#This Row],[Order_Date]],2)</f>
        <v>5</v>
      </c>
      <c r="I538" t="str">
        <f>IF(OR(agg_orders_daily_revenue[[#This Row],[Weekday_Num]]=6, agg_orders_daily_revenue[[#This Row],[Weekday_Num]]=7), "Weekend", "Weekday")</f>
        <v>Weekday</v>
      </c>
      <c r="J538" t="str">
        <f>TEXT(agg_orders_daily_revenue[[#This Row],[Order_Date]], "ddd")</f>
        <v>Fri</v>
      </c>
    </row>
    <row r="539" spans="1:10" x14ac:dyDescent="0.4">
      <c r="A539" s="1">
        <v>45829</v>
      </c>
      <c r="B539">
        <v>505181</v>
      </c>
      <c r="C539">
        <v>520123.43</v>
      </c>
      <c r="D539">
        <v>410</v>
      </c>
      <c r="E539">
        <f>YEAR(agg_orders_daily_revenue[[#This Row],[Order_Date]])</f>
        <v>2025</v>
      </c>
      <c r="F539">
        <f>MONTH(agg_orders_daily_revenue[[#This Row],[Order_Date]])</f>
        <v>6</v>
      </c>
      <c r="G539" t="str">
        <f>TEXT(agg_orders_daily_revenue[[#This Row],[Order_Date]],"yyyy-mm")</f>
        <v>2025-06</v>
      </c>
      <c r="H539">
        <f>WEEKDAY(agg_orders_daily_revenue[[#This Row],[Order_Date]],2)</f>
        <v>6</v>
      </c>
      <c r="I539" t="str">
        <f>IF(OR(agg_orders_daily_revenue[[#This Row],[Weekday_Num]]=6, agg_orders_daily_revenue[[#This Row],[Weekday_Num]]=7), "Weekend", "Weekday")</f>
        <v>Weekend</v>
      </c>
      <c r="J539" t="str">
        <f>TEXT(agg_orders_daily_revenue[[#This Row],[Order_Date]], "ddd")</f>
        <v>Sat</v>
      </c>
    </row>
    <row r="540" spans="1:10" x14ac:dyDescent="0.4">
      <c r="A540" s="1">
        <v>45830</v>
      </c>
      <c r="B540">
        <v>437569</v>
      </c>
      <c r="C540">
        <v>508992</v>
      </c>
      <c r="D540">
        <v>355</v>
      </c>
      <c r="E540">
        <f>YEAR(agg_orders_daily_revenue[[#This Row],[Order_Date]])</f>
        <v>2025</v>
      </c>
      <c r="F540">
        <f>MONTH(agg_orders_daily_revenue[[#This Row],[Order_Date]])</f>
        <v>6</v>
      </c>
      <c r="G540" t="str">
        <f>TEXT(agg_orders_daily_revenue[[#This Row],[Order_Date]],"yyyy-mm")</f>
        <v>2025-06</v>
      </c>
      <c r="H540">
        <f>WEEKDAY(agg_orders_daily_revenue[[#This Row],[Order_Date]],2)</f>
        <v>7</v>
      </c>
      <c r="I540" t="str">
        <f>IF(OR(agg_orders_daily_revenue[[#This Row],[Weekday_Num]]=6, agg_orders_daily_revenue[[#This Row],[Weekday_Num]]=7), "Weekend", "Weekday")</f>
        <v>Weekend</v>
      </c>
      <c r="J540" t="str">
        <f>TEXT(agg_orders_daily_revenue[[#This Row],[Order_Date]], "ddd")</f>
        <v>Sun</v>
      </c>
    </row>
    <row r="541" spans="1:10" x14ac:dyDescent="0.4">
      <c r="A541" s="1">
        <v>45831</v>
      </c>
      <c r="B541">
        <v>548856</v>
      </c>
      <c r="C541">
        <v>508536.43</v>
      </c>
      <c r="D541">
        <v>420</v>
      </c>
      <c r="E541">
        <f>YEAR(agg_orders_daily_revenue[[#This Row],[Order_Date]])</f>
        <v>2025</v>
      </c>
      <c r="F541">
        <f>MONTH(agg_orders_daily_revenue[[#This Row],[Order_Date]])</f>
        <v>6</v>
      </c>
      <c r="G541" t="str">
        <f>TEXT(agg_orders_daily_revenue[[#This Row],[Order_Date]],"yyyy-mm")</f>
        <v>2025-06</v>
      </c>
      <c r="H541">
        <f>WEEKDAY(agg_orders_daily_revenue[[#This Row],[Order_Date]],2)</f>
        <v>1</v>
      </c>
      <c r="I541" t="str">
        <f>IF(OR(agg_orders_daily_revenue[[#This Row],[Weekday_Num]]=6, agg_orders_daily_revenue[[#This Row],[Weekday_Num]]=7), "Weekend", "Weekday")</f>
        <v>Weekday</v>
      </c>
      <c r="J541" t="str">
        <f>TEXT(agg_orders_daily_revenue[[#This Row],[Order_Date]], "ddd")</f>
        <v>Mon</v>
      </c>
    </row>
    <row r="542" spans="1:10" x14ac:dyDescent="0.4">
      <c r="A542" s="1">
        <v>45832</v>
      </c>
      <c r="B542">
        <v>517620</v>
      </c>
      <c r="C542">
        <v>506533.71</v>
      </c>
      <c r="D542">
        <v>403</v>
      </c>
      <c r="E542">
        <f>YEAR(agg_orders_daily_revenue[[#This Row],[Order_Date]])</f>
        <v>2025</v>
      </c>
      <c r="F542">
        <f>MONTH(agg_orders_daily_revenue[[#This Row],[Order_Date]])</f>
        <v>6</v>
      </c>
      <c r="G542" t="str">
        <f>TEXT(agg_orders_daily_revenue[[#This Row],[Order_Date]],"yyyy-mm")</f>
        <v>2025-06</v>
      </c>
      <c r="H542">
        <f>WEEKDAY(agg_orders_daily_revenue[[#This Row],[Order_Date]],2)</f>
        <v>2</v>
      </c>
      <c r="I542" t="str">
        <f>IF(OR(agg_orders_daily_revenue[[#This Row],[Weekday_Num]]=6, agg_orders_daily_revenue[[#This Row],[Weekday_Num]]=7), "Weekend", "Weekday")</f>
        <v>Weekday</v>
      </c>
      <c r="J542" t="str">
        <f>TEXT(agg_orders_daily_revenue[[#This Row],[Order_Date]], "ddd")</f>
        <v>Tue</v>
      </c>
    </row>
    <row r="543" spans="1:10" x14ac:dyDescent="0.4">
      <c r="A543" s="1">
        <v>45833</v>
      </c>
      <c r="B543">
        <v>538790</v>
      </c>
      <c r="C543">
        <v>511621.29</v>
      </c>
      <c r="D543">
        <v>420</v>
      </c>
      <c r="E543">
        <f>YEAR(agg_orders_daily_revenue[[#This Row],[Order_Date]])</f>
        <v>2025</v>
      </c>
      <c r="F543">
        <f>MONTH(agg_orders_daily_revenue[[#This Row],[Order_Date]])</f>
        <v>6</v>
      </c>
      <c r="G543" t="str">
        <f>TEXT(agg_orders_daily_revenue[[#This Row],[Order_Date]],"yyyy-mm")</f>
        <v>2025-06</v>
      </c>
      <c r="H543">
        <f>WEEKDAY(agg_orders_daily_revenue[[#This Row],[Order_Date]],2)</f>
        <v>3</v>
      </c>
      <c r="I543" t="str">
        <f>IF(OR(agg_orders_daily_revenue[[#This Row],[Weekday_Num]]=6, agg_orders_daily_revenue[[#This Row],[Weekday_Num]]=7), "Weekend", "Weekday")</f>
        <v>Weekday</v>
      </c>
      <c r="J543" t="str">
        <f>TEXT(agg_orders_daily_revenue[[#This Row],[Order_Date]], "ddd")</f>
        <v>Wed</v>
      </c>
    </row>
    <row r="544" spans="1:10" x14ac:dyDescent="0.4">
      <c r="A544" s="1">
        <v>45834</v>
      </c>
      <c r="B544">
        <v>484523</v>
      </c>
      <c r="C544">
        <v>502087.86</v>
      </c>
      <c r="D544">
        <v>388</v>
      </c>
      <c r="E544">
        <f>YEAR(agg_orders_daily_revenue[[#This Row],[Order_Date]])</f>
        <v>2025</v>
      </c>
      <c r="F544">
        <f>MONTH(agg_orders_daily_revenue[[#This Row],[Order_Date]])</f>
        <v>6</v>
      </c>
      <c r="G544" t="str">
        <f>TEXT(agg_orders_daily_revenue[[#This Row],[Order_Date]],"yyyy-mm")</f>
        <v>2025-06</v>
      </c>
      <c r="H544">
        <f>WEEKDAY(agg_orders_daily_revenue[[#This Row],[Order_Date]],2)</f>
        <v>4</v>
      </c>
      <c r="I544" t="str">
        <f>IF(OR(agg_orders_daily_revenue[[#This Row],[Weekday_Num]]=6, agg_orders_daily_revenue[[#This Row],[Weekday_Num]]=7), "Weekend", "Weekday")</f>
        <v>Weekday</v>
      </c>
      <c r="J544" t="str">
        <f>TEXT(agg_orders_daily_revenue[[#This Row],[Order_Date]], "ddd")</f>
        <v>Thu</v>
      </c>
    </row>
    <row r="545" spans="1:10" x14ac:dyDescent="0.4">
      <c r="A545" s="1">
        <v>45835</v>
      </c>
      <c r="B545">
        <v>540629</v>
      </c>
      <c r="C545">
        <v>510452.57</v>
      </c>
      <c r="D545">
        <v>443</v>
      </c>
      <c r="E545">
        <f>YEAR(agg_orders_daily_revenue[[#This Row],[Order_Date]])</f>
        <v>2025</v>
      </c>
      <c r="F545">
        <f>MONTH(agg_orders_daily_revenue[[#This Row],[Order_Date]])</f>
        <v>6</v>
      </c>
      <c r="G545" t="str">
        <f>TEXT(agg_orders_daily_revenue[[#This Row],[Order_Date]],"yyyy-mm")</f>
        <v>2025-06</v>
      </c>
      <c r="H545">
        <f>WEEKDAY(agg_orders_daily_revenue[[#This Row],[Order_Date]],2)</f>
        <v>5</v>
      </c>
      <c r="I545" t="str">
        <f>IF(OR(agg_orders_daily_revenue[[#This Row],[Weekday_Num]]=6, agg_orders_daily_revenue[[#This Row],[Weekday_Num]]=7), "Weekend", "Weekday")</f>
        <v>Weekday</v>
      </c>
      <c r="J545" t="str">
        <f>TEXT(agg_orders_daily_revenue[[#This Row],[Order_Date]], "ddd")</f>
        <v>Fri</v>
      </c>
    </row>
    <row r="546" spans="1:10" x14ac:dyDescent="0.4">
      <c r="A546" s="1">
        <v>45836</v>
      </c>
      <c r="B546">
        <v>454423</v>
      </c>
      <c r="C546">
        <v>503201.43</v>
      </c>
      <c r="D546">
        <v>375</v>
      </c>
      <c r="E546">
        <f>YEAR(agg_orders_daily_revenue[[#This Row],[Order_Date]])</f>
        <v>2025</v>
      </c>
      <c r="F546">
        <f>MONTH(agg_orders_daily_revenue[[#This Row],[Order_Date]])</f>
        <v>6</v>
      </c>
      <c r="G546" t="str">
        <f>TEXT(agg_orders_daily_revenue[[#This Row],[Order_Date]],"yyyy-mm")</f>
        <v>2025-06</v>
      </c>
      <c r="H546">
        <f>WEEKDAY(agg_orders_daily_revenue[[#This Row],[Order_Date]],2)</f>
        <v>6</v>
      </c>
      <c r="I546" t="str">
        <f>IF(OR(agg_orders_daily_revenue[[#This Row],[Weekday_Num]]=6, agg_orders_daily_revenue[[#This Row],[Weekday_Num]]=7), "Weekend", "Weekday")</f>
        <v>Weekend</v>
      </c>
      <c r="J546" t="str">
        <f>TEXT(agg_orders_daily_revenue[[#This Row],[Order_Date]], "ddd")</f>
        <v>Sat</v>
      </c>
    </row>
    <row r="547" spans="1:10" x14ac:dyDescent="0.4">
      <c r="A547" s="1">
        <v>45837</v>
      </c>
      <c r="B547">
        <v>512747</v>
      </c>
      <c r="C547">
        <v>513941.14</v>
      </c>
      <c r="D547">
        <v>413</v>
      </c>
      <c r="E547">
        <f>YEAR(agg_orders_daily_revenue[[#This Row],[Order_Date]])</f>
        <v>2025</v>
      </c>
      <c r="F547">
        <f>MONTH(agg_orders_daily_revenue[[#This Row],[Order_Date]])</f>
        <v>6</v>
      </c>
      <c r="G547" t="str">
        <f>TEXT(agg_orders_daily_revenue[[#This Row],[Order_Date]],"yyyy-mm")</f>
        <v>2025-06</v>
      </c>
      <c r="H547">
        <f>WEEKDAY(agg_orders_daily_revenue[[#This Row],[Order_Date]],2)</f>
        <v>7</v>
      </c>
      <c r="I547" t="str">
        <f>IF(OR(agg_orders_daily_revenue[[#This Row],[Weekday_Num]]=6, agg_orders_daily_revenue[[#This Row],[Weekday_Num]]=7), "Weekend", "Weekday")</f>
        <v>Weekend</v>
      </c>
      <c r="J547" t="str">
        <f>TEXT(agg_orders_daily_revenue[[#This Row],[Order_Date]], "ddd")</f>
        <v>Sun</v>
      </c>
    </row>
    <row r="548" spans="1:10" x14ac:dyDescent="0.4">
      <c r="A548" s="1">
        <v>45838</v>
      </c>
      <c r="B548">
        <v>507702</v>
      </c>
      <c r="C548">
        <v>508062</v>
      </c>
      <c r="D548">
        <v>422</v>
      </c>
      <c r="E548">
        <f>YEAR(agg_orders_daily_revenue[[#This Row],[Order_Date]])</f>
        <v>2025</v>
      </c>
      <c r="F548">
        <f>MONTH(agg_orders_daily_revenue[[#This Row],[Order_Date]])</f>
        <v>6</v>
      </c>
      <c r="G548" t="str">
        <f>TEXT(agg_orders_daily_revenue[[#This Row],[Order_Date]],"yyyy-mm")</f>
        <v>2025-06</v>
      </c>
      <c r="H548">
        <f>WEEKDAY(agg_orders_daily_revenue[[#This Row],[Order_Date]],2)</f>
        <v>1</v>
      </c>
      <c r="I548" t="str">
        <f>IF(OR(agg_orders_daily_revenue[[#This Row],[Weekday_Num]]=6, agg_orders_daily_revenue[[#This Row],[Weekday_Num]]=7), "Weekend", "Weekday")</f>
        <v>Weekday</v>
      </c>
      <c r="J548" t="str">
        <f>TEXT(agg_orders_daily_revenue[[#This Row],[Order_Date]], "ddd")</f>
        <v>Mon</v>
      </c>
    </row>
    <row r="549" spans="1:10" x14ac:dyDescent="0.4">
      <c r="A549" s="1">
        <v>45839</v>
      </c>
      <c r="B549">
        <v>511638</v>
      </c>
      <c r="C549">
        <v>507207.43</v>
      </c>
      <c r="D549">
        <v>417</v>
      </c>
      <c r="E549">
        <f>YEAR(agg_orders_daily_revenue[[#This Row],[Order_Date]])</f>
        <v>2025</v>
      </c>
      <c r="F549">
        <f>MONTH(agg_orders_daily_revenue[[#This Row],[Order_Date]])</f>
        <v>7</v>
      </c>
      <c r="G549" t="str">
        <f>TEXT(agg_orders_daily_revenue[[#This Row],[Order_Date]],"yyyy-mm")</f>
        <v>2025-07</v>
      </c>
      <c r="H549">
        <f>WEEKDAY(agg_orders_daily_revenue[[#This Row],[Order_Date]],2)</f>
        <v>2</v>
      </c>
      <c r="I549" t="str">
        <f>IF(OR(agg_orders_daily_revenue[[#This Row],[Weekday_Num]]=6, agg_orders_daily_revenue[[#This Row],[Weekday_Num]]=7), "Weekend", "Weekday")</f>
        <v>Weekday</v>
      </c>
      <c r="J549" t="str">
        <f>TEXT(agg_orders_daily_revenue[[#This Row],[Order_Date]], "ddd")</f>
        <v>Tue</v>
      </c>
    </row>
    <row r="550" spans="1:10" x14ac:dyDescent="0.4">
      <c r="A550" s="1">
        <v>45840</v>
      </c>
      <c r="B550">
        <v>487864</v>
      </c>
      <c r="C550">
        <v>499932.29</v>
      </c>
      <c r="D550">
        <v>419</v>
      </c>
      <c r="E550">
        <f>YEAR(agg_orders_daily_revenue[[#This Row],[Order_Date]])</f>
        <v>2025</v>
      </c>
      <c r="F550">
        <f>MONTH(agg_orders_daily_revenue[[#This Row],[Order_Date]])</f>
        <v>7</v>
      </c>
      <c r="G550" t="str">
        <f>TEXT(agg_orders_daily_revenue[[#This Row],[Order_Date]],"yyyy-mm")</f>
        <v>2025-07</v>
      </c>
      <c r="H550">
        <f>WEEKDAY(agg_orders_daily_revenue[[#This Row],[Order_Date]],2)</f>
        <v>3</v>
      </c>
      <c r="I550" t="str">
        <f>IF(OR(agg_orders_daily_revenue[[#This Row],[Weekday_Num]]=6, agg_orders_daily_revenue[[#This Row],[Weekday_Num]]=7), "Weekend", "Weekday")</f>
        <v>Weekday</v>
      </c>
      <c r="J550" t="str">
        <f>TEXT(agg_orders_daily_revenue[[#This Row],[Order_Date]], "ddd")</f>
        <v>Wed</v>
      </c>
    </row>
    <row r="551" spans="1:10" x14ac:dyDescent="0.4">
      <c r="A551" s="1">
        <v>45841</v>
      </c>
      <c r="B551">
        <v>534623</v>
      </c>
      <c r="C551">
        <v>507089.43</v>
      </c>
      <c r="D551">
        <v>395</v>
      </c>
      <c r="E551">
        <f>YEAR(agg_orders_daily_revenue[[#This Row],[Order_Date]])</f>
        <v>2025</v>
      </c>
      <c r="F551">
        <f>MONTH(agg_orders_daily_revenue[[#This Row],[Order_Date]])</f>
        <v>7</v>
      </c>
      <c r="G551" t="str">
        <f>TEXT(agg_orders_daily_revenue[[#This Row],[Order_Date]],"yyyy-mm")</f>
        <v>2025-07</v>
      </c>
      <c r="H551">
        <f>WEEKDAY(agg_orders_daily_revenue[[#This Row],[Order_Date]],2)</f>
        <v>4</v>
      </c>
      <c r="I551" t="str">
        <f>IF(OR(agg_orders_daily_revenue[[#This Row],[Weekday_Num]]=6, agg_orders_daily_revenue[[#This Row],[Weekday_Num]]=7), "Weekend", "Weekday")</f>
        <v>Weekday</v>
      </c>
      <c r="J551" t="str">
        <f>TEXT(agg_orders_daily_revenue[[#This Row],[Order_Date]], "ddd")</f>
        <v>Thu</v>
      </c>
    </row>
    <row r="552" spans="1:10" x14ac:dyDescent="0.4">
      <c r="A552" s="1">
        <v>45842</v>
      </c>
      <c r="B552">
        <v>510989</v>
      </c>
      <c r="C552">
        <v>502855.14</v>
      </c>
      <c r="D552">
        <v>430</v>
      </c>
      <c r="E552">
        <f>YEAR(agg_orders_daily_revenue[[#This Row],[Order_Date]])</f>
        <v>2025</v>
      </c>
      <c r="F552">
        <f>MONTH(agg_orders_daily_revenue[[#This Row],[Order_Date]])</f>
        <v>7</v>
      </c>
      <c r="G552" t="str">
        <f>TEXT(agg_orders_daily_revenue[[#This Row],[Order_Date]],"yyyy-mm")</f>
        <v>2025-07</v>
      </c>
      <c r="H552">
        <f>WEEKDAY(agg_orders_daily_revenue[[#This Row],[Order_Date]],2)</f>
        <v>5</v>
      </c>
      <c r="I552" t="str">
        <f>IF(OR(agg_orders_daily_revenue[[#This Row],[Weekday_Num]]=6, agg_orders_daily_revenue[[#This Row],[Weekday_Num]]=7), "Weekend", "Weekday")</f>
        <v>Weekday</v>
      </c>
      <c r="J552" t="str">
        <f>TEXT(agg_orders_daily_revenue[[#This Row],[Order_Date]], "ddd")</f>
        <v>Fri</v>
      </c>
    </row>
    <row r="553" spans="1:10" x14ac:dyDescent="0.4">
      <c r="A553" s="1">
        <v>45843</v>
      </c>
      <c r="B553">
        <v>521384</v>
      </c>
      <c r="C553">
        <v>512421</v>
      </c>
      <c r="D553">
        <v>415</v>
      </c>
      <c r="E553">
        <f>YEAR(agg_orders_daily_revenue[[#This Row],[Order_Date]])</f>
        <v>2025</v>
      </c>
      <c r="F553">
        <f>MONTH(agg_orders_daily_revenue[[#This Row],[Order_Date]])</f>
        <v>7</v>
      </c>
      <c r="G553" t="str">
        <f>TEXT(agg_orders_daily_revenue[[#This Row],[Order_Date]],"yyyy-mm")</f>
        <v>2025-07</v>
      </c>
      <c r="H553">
        <f>WEEKDAY(agg_orders_daily_revenue[[#This Row],[Order_Date]],2)</f>
        <v>6</v>
      </c>
      <c r="I553" t="str">
        <f>IF(OR(agg_orders_daily_revenue[[#This Row],[Weekday_Num]]=6, agg_orders_daily_revenue[[#This Row],[Weekday_Num]]=7), "Weekend", "Weekday")</f>
        <v>Weekend</v>
      </c>
      <c r="J553" t="str">
        <f>TEXT(agg_orders_daily_revenue[[#This Row],[Order_Date]], "ddd")</f>
        <v>Sat</v>
      </c>
    </row>
    <row r="554" spans="1:10" x14ac:dyDescent="0.4">
      <c r="A554" s="1">
        <v>45844</v>
      </c>
      <c r="B554">
        <v>499613</v>
      </c>
      <c r="C554">
        <v>510544.71</v>
      </c>
      <c r="D554">
        <v>407</v>
      </c>
      <c r="E554">
        <f>YEAR(agg_orders_daily_revenue[[#This Row],[Order_Date]])</f>
        <v>2025</v>
      </c>
      <c r="F554">
        <f>MONTH(agg_orders_daily_revenue[[#This Row],[Order_Date]])</f>
        <v>7</v>
      </c>
      <c r="G554" t="str">
        <f>TEXT(agg_orders_daily_revenue[[#This Row],[Order_Date]],"yyyy-mm")</f>
        <v>2025-07</v>
      </c>
      <c r="H554">
        <f>WEEKDAY(agg_orders_daily_revenue[[#This Row],[Order_Date]],2)</f>
        <v>7</v>
      </c>
      <c r="I554" t="str">
        <f>IF(OR(agg_orders_daily_revenue[[#This Row],[Weekday_Num]]=6, agg_orders_daily_revenue[[#This Row],[Weekday_Num]]=7), "Weekend", "Weekday")</f>
        <v>Weekend</v>
      </c>
      <c r="J554" t="str">
        <f>TEXT(agg_orders_daily_revenue[[#This Row],[Order_Date]], "ddd")</f>
        <v>Sun</v>
      </c>
    </row>
    <row r="555" spans="1:10" x14ac:dyDescent="0.4">
      <c r="A555" s="1">
        <v>45845</v>
      </c>
      <c r="B555">
        <v>527956</v>
      </c>
      <c r="C555">
        <v>513438.14</v>
      </c>
      <c r="D555">
        <v>419</v>
      </c>
      <c r="E555">
        <f>YEAR(agg_orders_daily_revenue[[#This Row],[Order_Date]])</f>
        <v>2025</v>
      </c>
      <c r="F555">
        <f>MONTH(agg_orders_daily_revenue[[#This Row],[Order_Date]])</f>
        <v>7</v>
      </c>
      <c r="G555" t="str">
        <f>TEXT(agg_orders_daily_revenue[[#This Row],[Order_Date]],"yyyy-mm")</f>
        <v>2025-07</v>
      </c>
      <c r="H555">
        <f>WEEKDAY(agg_orders_daily_revenue[[#This Row],[Order_Date]],2)</f>
        <v>1</v>
      </c>
      <c r="I555" t="str">
        <f>IF(OR(agg_orders_daily_revenue[[#This Row],[Weekday_Num]]=6, agg_orders_daily_revenue[[#This Row],[Weekday_Num]]=7), "Weekend", "Weekday")</f>
        <v>Weekday</v>
      </c>
      <c r="J555" t="str">
        <f>TEXT(agg_orders_daily_revenue[[#This Row],[Order_Date]], "ddd")</f>
        <v>Mon</v>
      </c>
    </row>
    <row r="556" spans="1:10" x14ac:dyDescent="0.4">
      <c r="A556" s="1">
        <v>45846</v>
      </c>
      <c r="B556">
        <v>483454</v>
      </c>
      <c r="C556">
        <v>509411.86</v>
      </c>
      <c r="D556">
        <v>386</v>
      </c>
      <c r="E556">
        <f>YEAR(agg_orders_daily_revenue[[#This Row],[Order_Date]])</f>
        <v>2025</v>
      </c>
      <c r="F556">
        <f>MONTH(agg_orders_daily_revenue[[#This Row],[Order_Date]])</f>
        <v>7</v>
      </c>
      <c r="G556" t="str">
        <f>TEXT(agg_orders_daily_revenue[[#This Row],[Order_Date]],"yyyy-mm")</f>
        <v>2025-07</v>
      </c>
      <c r="H556">
        <f>WEEKDAY(agg_orders_daily_revenue[[#This Row],[Order_Date]],2)</f>
        <v>2</v>
      </c>
      <c r="I556" t="str">
        <f>IF(OR(agg_orders_daily_revenue[[#This Row],[Weekday_Num]]=6, agg_orders_daily_revenue[[#This Row],[Weekday_Num]]=7), "Weekend", "Weekday")</f>
        <v>Weekday</v>
      </c>
      <c r="J556" t="str">
        <f>TEXT(agg_orders_daily_revenue[[#This Row],[Order_Date]], "ddd")</f>
        <v>Tue</v>
      </c>
    </row>
    <row r="557" spans="1:10" x14ac:dyDescent="0.4">
      <c r="A557" s="1">
        <v>45847</v>
      </c>
      <c r="B557">
        <v>534291</v>
      </c>
      <c r="C557">
        <v>516044.29</v>
      </c>
      <c r="D557">
        <v>416</v>
      </c>
      <c r="E557">
        <f>YEAR(agg_orders_daily_revenue[[#This Row],[Order_Date]])</f>
        <v>2025</v>
      </c>
      <c r="F557">
        <f>MONTH(agg_orders_daily_revenue[[#This Row],[Order_Date]])</f>
        <v>7</v>
      </c>
      <c r="G557" t="str">
        <f>TEXT(agg_orders_daily_revenue[[#This Row],[Order_Date]],"yyyy-mm")</f>
        <v>2025-07</v>
      </c>
      <c r="H557">
        <f>WEEKDAY(agg_orders_daily_revenue[[#This Row],[Order_Date]],2)</f>
        <v>3</v>
      </c>
      <c r="I557" t="str">
        <f>IF(OR(agg_orders_daily_revenue[[#This Row],[Weekday_Num]]=6, agg_orders_daily_revenue[[#This Row],[Weekday_Num]]=7), "Weekend", "Weekday")</f>
        <v>Weekday</v>
      </c>
      <c r="J557" t="str">
        <f>TEXT(agg_orders_daily_revenue[[#This Row],[Order_Date]], "ddd")</f>
        <v>Wed</v>
      </c>
    </row>
    <row r="558" spans="1:10" x14ac:dyDescent="0.4">
      <c r="A558" s="1">
        <v>45848</v>
      </c>
      <c r="B558">
        <v>510275</v>
      </c>
      <c r="C558">
        <v>512566</v>
      </c>
      <c r="D558">
        <v>400</v>
      </c>
      <c r="E558">
        <f>YEAR(agg_orders_daily_revenue[[#This Row],[Order_Date]])</f>
        <v>2025</v>
      </c>
      <c r="F558">
        <f>MONTH(agg_orders_daily_revenue[[#This Row],[Order_Date]])</f>
        <v>7</v>
      </c>
      <c r="G558" t="str">
        <f>TEXT(agg_orders_daily_revenue[[#This Row],[Order_Date]],"yyyy-mm")</f>
        <v>2025-07</v>
      </c>
      <c r="H558">
        <f>WEEKDAY(agg_orders_daily_revenue[[#This Row],[Order_Date]],2)</f>
        <v>4</v>
      </c>
      <c r="I558" t="str">
        <f>IF(OR(agg_orders_daily_revenue[[#This Row],[Weekday_Num]]=6, agg_orders_daily_revenue[[#This Row],[Weekday_Num]]=7), "Weekend", "Weekday")</f>
        <v>Weekday</v>
      </c>
      <c r="J558" t="str">
        <f>TEXT(agg_orders_daily_revenue[[#This Row],[Order_Date]], "ddd")</f>
        <v>Thu</v>
      </c>
    </row>
    <row r="559" spans="1:10" x14ac:dyDescent="0.4">
      <c r="A559" s="1">
        <v>45849</v>
      </c>
      <c r="B559">
        <v>554407</v>
      </c>
      <c r="C559">
        <v>518768.57</v>
      </c>
      <c r="D559">
        <v>459</v>
      </c>
      <c r="E559">
        <f>YEAR(agg_orders_daily_revenue[[#This Row],[Order_Date]])</f>
        <v>2025</v>
      </c>
      <c r="F559">
        <f>MONTH(agg_orders_daily_revenue[[#This Row],[Order_Date]])</f>
        <v>7</v>
      </c>
      <c r="G559" t="str">
        <f>TEXT(agg_orders_daily_revenue[[#This Row],[Order_Date]],"yyyy-mm")</f>
        <v>2025-07</v>
      </c>
      <c r="H559">
        <f>WEEKDAY(agg_orders_daily_revenue[[#This Row],[Order_Date]],2)</f>
        <v>5</v>
      </c>
      <c r="I559" t="str">
        <f>IF(OR(agg_orders_daily_revenue[[#This Row],[Weekday_Num]]=6, agg_orders_daily_revenue[[#This Row],[Weekday_Num]]=7), "Weekend", "Weekday")</f>
        <v>Weekday</v>
      </c>
      <c r="J559" t="str">
        <f>TEXT(agg_orders_daily_revenue[[#This Row],[Order_Date]], "ddd")</f>
        <v>Fri</v>
      </c>
    </row>
    <row r="560" spans="1:10" x14ac:dyDescent="0.4">
      <c r="A560" s="1">
        <v>45850</v>
      </c>
      <c r="B560">
        <v>534975</v>
      </c>
      <c r="C560">
        <v>520710.14</v>
      </c>
      <c r="D560">
        <v>422</v>
      </c>
      <c r="E560">
        <f>YEAR(agg_orders_daily_revenue[[#This Row],[Order_Date]])</f>
        <v>2025</v>
      </c>
      <c r="F560">
        <f>MONTH(agg_orders_daily_revenue[[#This Row],[Order_Date]])</f>
        <v>7</v>
      </c>
      <c r="G560" t="str">
        <f>TEXT(agg_orders_daily_revenue[[#This Row],[Order_Date]],"yyyy-mm")</f>
        <v>2025-07</v>
      </c>
      <c r="H560">
        <f>WEEKDAY(agg_orders_daily_revenue[[#This Row],[Order_Date]],2)</f>
        <v>6</v>
      </c>
      <c r="I560" t="str">
        <f>IF(OR(agg_orders_daily_revenue[[#This Row],[Weekday_Num]]=6, agg_orders_daily_revenue[[#This Row],[Weekday_Num]]=7), "Weekend", "Weekday")</f>
        <v>Weekend</v>
      </c>
      <c r="J560" t="str">
        <f>TEXT(agg_orders_daily_revenue[[#This Row],[Order_Date]], "ddd")</f>
        <v>Sat</v>
      </c>
    </row>
    <row r="561" spans="1:10" x14ac:dyDescent="0.4">
      <c r="A561" s="1">
        <v>45851</v>
      </c>
      <c r="B561">
        <v>507008</v>
      </c>
      <c r="C561">
        <v>521766.57</v>
      </c>
      <c r="D561">
        <v>406</v>
      </c>
      <c r="E561">
        <f>YEAR(agg_orders_daily_revenue[[#This Row],[Order_Date]])</f>
        <v>2025</v>
      </c>
      <c r="F561">
        <f>MONTH(agg_orders_daily_revenue[[#This Row],[Order_Date]])</f>
        <v>7</v>
      </c>
      <c r="G561" t="str">
        <f>TEXT(agg_orders_daily_revenue[[#This Row],[Order_Date]],"yyyy-mm")</f>
        <v>2025-07</v>
      </c>
      <c r="H561">
        <f>WEEKDAY(agg_orders_daily_revenue[[#This Row],[Order_Date]],2)</f>
        <v>7</v>
      </c>
      <c r="I561" t="str">
        <f>IF(OR(agg_orders_daily_revenue[[#This Row],[Weekday_Num]]=6, agg_orders_daily_revenue[[#This Row],[Weekday_Num]]=7), "Weekend", "Weekday")</f>
        <v>Weekend</v>
      </c>
      <c r="J561" t="str">
        <f>TEXT(agg_orders_daily_revenue[[#This Row],[Order_Date]], "ddd")</f>
        <v>Sun</v>
      </c>
    </row>
    <row r="562" spans="1:10" x14ac:dyDescent="0.4">
      <c r="A562" s="1">
        <v>45852</v>
      </c>
      <c r="B562">
        <v>497476</v>
      </c>
      <c r="C562">
        <v>517412.29</v>
      </c>
      <c r="D562">
        <v>406</v>
      </c>
      <c r="E562">
        <f>YEAR(agg_orders_daily_revenue[[#This Row],[Order_Date]])</f>
        <v>2025</v>
      </c>
      <c r="F562">
        <f>MONTH(agg_orders_daily_revenue[[#This Row],[Order_Date]])</f>
        <v>7</v>
      </c>
      <c r="G562" t="str">
        <f>TEXT(agg_orders_daily_revenue[[#This Row],[Order_Date]],"yyyy-mm")</f>
        <v>2025-07</v>
      </c>
      <c r="H562">
        <f>WEEKDAY(agg_orders_daily_revenue[[#This Row],[Order_Date]],2)</f>
        <v>1</v>
      </c>
      <c r="I562" t="str">
        <f>IF(OR(agg_orders_daily_revenue[[#This Row],[Weekday_Num]]=6, agg_orders_daily_revenue[[#This Row],[Weekday_Num]]=7), "Weekend", "Weekday")</f>
        <v>Weekday</v>
      </c>
      <c r="J562" t="str">
        <f>TEXT(agg_orders_daily_revenue[[#This Row],[Order_Date]], "ddd")</f>
        <v>Mon</v>
      </c>
    </row>
    <row r="563" spans="1:10" x14ac:dyDescent="0.4">
      <c r="A563" s="1">
        <v>45853</v>
      </c>
      <c r="B563">
        <v>527113</v>
      </c>
      <c r="C563">
        <v>523649.29</v>
      </c>
      <c r="D563">
        <v>411</v>
      </c>
      <c r="E563">
        <f>YEAR(agg_orders_daily_revenue[[#This Row],[Order_Date]])</f>
        <v>2025</v>
      </c>
      <c r="F563">
        <f>MONTH(agg_orders_daily_revenue[[#This Row],[Order_Date]])</f>
        <v>7</v>
      </c>
      <c r="G563" t="str">
        <f>TEXT(agg_orders_daily_revenue[[#This Row],[Order_Date]],"yyyy-mm")</f>
        <v>2025-07</v>
      </c>
      <c r="H563">
        <f>WEEKDAY(agg_orders_daily_revenue[[#This Row],[Order_Date]],2)</f>
        <v>2</v>
      </c>
      <c r="I563" t="str">
        <f>IF(OR(agg_orders_daily_revenue[[#This Row],[Weekday_Num]]=6, agg_orders_daily_revenue[[#This Row],[Weekday_Num]]=7), "Weekend", "Weekday")</f>
        <v>Weekday</v>
      </c>
      <c r="J563" t="str">
        <f>TEXT(agg_orders_daily_revenue[[#This Row],[Order_Date]], "ddd")</f>
        <v>Tue</v>
      </c>
    </row>
    <row r="564" spans="1:10" x14ac:dyDescent="0.4">
      <c r="A564" s="1">
        <v>45854</v>
      </c>
      <c r="B564">
        <v>513427</v>
      </c>
      <c r="C564">
        <v>520668.71</v>
      </c>
      <c r="D564">
        <v>407</v>
      </c>
      <c r="E564">
        <f>YEAR(agg_orders_daily_revenue[[#This Row],[Order_Date]])</f>
        <v>2025</v>
      </c>
      <c r="F564">
        <f>MONTH(agg_orders_daily_revenue[[#This Row],[Order_Date]])</f>
        <v>7</v>
      </c>
      <c r="G564" t="str">
        <f>TEXT(agg_orders_daily_revenue[[#This Row],[Order_Date]],"yyyy-mm")</f>
        <v>2025-07</v>
      </c>
      <c r="H564">
        <f>WEEKDAY(agg_orders_daily_revenue[[#This Row],[Order_Date]],2)</f>
        <v>3</v>
      </c>
      <c r="I564" t="str">
        <f>IF(OR(agg_orders_daily_revenue[[#This Row],[Weekday_Num]]=6, agg_orders_daily_revenue[[#This Row],[Weekday_Num]]=7), "Weekend", "Weekday")</f>
        <v>Weekday</v>
      </c>
      <c r="J564" t="str">
        <f>TEXT(agg_orders_daily_revenue[[#This Row],[Order_Date]], "ddd")</f>
        <v>Wed</v>
      </c>
    </row>
    <row r="565" spans="1:10" x14ac:dyDescent="0.4">
      <c r="A565" s="1">
        <v>45855</v>
      </c>
      <c r="B565">
        <v>511676</v>
      </c>
      <c r="C565">
        <v>520868.86</v>
      </c>
      <c r="D565">
        <v>412</v>
      </c>
      <c r="E565">
        <f>YEAR(agg_orders_daily_revenue[[#This Row],[Order_Date]])</f>
        <v>2025</v>
      </c>
      <c r="F565">
        <f>MONTH(agg_orders_daily_revenue[[#This Row],[Order_Date]])</f>
        <v>7</v>
      </c>
      <c r="G565" t="str">
        <f>TEXT(agg_orders_daily_revenue[[#This Row],[Order_Date]],"yyyy-mm")</f>
        <v>2025-07</v>
      </c>
      <c r="H565">
        <f>WEEKDAY(agg_orders_daily_revenue[[#This Row],[Order_Date]],2)</f>
        <v>4</v>
      </c>
      <c r="I565" t="str">
        <f>IF(OR(agg_orders_daily_revenue[[#This Row],[Weekday_Num]]=6, agg_orders_daily_revenue[[#This Row],[Weekday_Num]]=7), "Weekend", "Weekday")</f>
        <v>Weekday</v>
      </c>
      <c r="J565" t="str">
        <f>TEXT(agg_orders_daily_revenue[[#This Row],[Order_Date]], "ddd")</f>
        <v>Thu</v>
      </c>
    </row>
    <row r="566" spans="1:10" x14ac:dyDescent="0.4">
      <c r="A566" s="1">
        <v>45856</v>
      </c>
      <c r="B566">
        <v>536574</v>
      </c>
      <c r="C566">
        <v>518321.29</v>
      </c>
      <c r="D566">
        <v>425</v>
      </c>
      <c r="E566">
        <f>YEAR(agg_orders_daily_revenue[[#This Row],[Order_Date]])</f>
        <v>2025</v>
      </c>
      <c r="F566">
        <f>MONTH(agg_orders_daily_revenue[[#This Row],[Order_Date]])</f>
        <v>7</v>
      </c>
      <c r="G566" t="str">
        <f>TEXT(agg_orders_daily_revenue[[#This Row],[Order_Date]],"yyyy-mm")</f>
        <v>2025-07</v>
      </c>
      <c r="H566">
        <f>WEEKDAY(agg_orders_daily_revenue[[#This Row],[Order_Date]],2)</f>
        <v>5</v>
      </c>
      <c r="I566" t="str">
        <f>IF(OR(agg_orders_daily_revenue[[#This Row],[Weekday_Num]]=6, agg_orders_daily_revenue[[#This Row],[Weekday_Num]]=7), "Weekend", "Weekday")</f>
        <v>Weekday</v>
      </c>
      <c r="J566" t="str">
        <f>TEXT(agg_orders_daily_revenue[[#This Row],[Order_Date]], "ddd")</f>
        <v>Fri</v>
      </c>
    </row>
    <row r="567" spans="1:10" x14ac:dyDescent="0.4">
      <c r="A567" s="1">
        <v>45857</v>
      </c>
      <c r="B567">
        <v>522623</v>
      </c>
      <c r="C567">
        <v>516556.71</v>
      </c>
      <c r="D567">
        <v>427</v>
      </c>
      <c r="E567">
        <f>YEAR(agg_orders_daily_revenue[[#This Row],[Order_Date]])</f>
        <v>2025</v>
      </c>
      <c r="F567">
        <f>MONTH(agg_orders_daily_revenue[[#This Row],[Order_Date]])</f>
        <v>7</v>
      </c>
      <c r="G567" t="str">
        <f>TEXT(agg_orders_daily_revenue[[#This Row],[Order_Date]],"yyyy-mm")</f>
        <v>2025-07</v>
      </c>
      <c r="H567">
        <f>WEEKDAY(agg_orders_daily_revenue[[#This Row],[Order_Date]],2)</f>
        <v>6</v>
      </c>
      <c r="I567" t="str">
        <f>IF(OR(agg_orders_daily_revenue[[#This Row],[Weekday_Num]]=6, agg_orders_daily_revenue[[#This Row],[Weekday_Num]]=7), "Weekend", "Weekday")</f>
        <v>Weekend</v>
      </c>
      <c r="J567" t="str">
        <f>TEXT(agg_orders_daily_revenue[[#This Row],[Order_Date]], "ddd")</f>
        <v>Sat</v>
      </c>
    </row>
    <row r="568" spans="1:10" x14ac:dyDescent="0.4">
      <c r="A568" s="1">
        <v>45858</v>
      </c>
      <c r="B568">
        <v>522754</v>
      </c>
      <c r="C568">
        <v>518806.14</v>
      </c>
      <c r="D568">
        <v>429</v>
      </c>
      <c r="E568">
        <f>YEAR(agg_orders_daily_revenue[[#This Row],[Order_Date]])</f>
        <v>2025</v>
      </c>
      <c r="F568">
        <f>MONTH(agg_orders_daily_revenue[[#This Row],[Order_Date]])</f>
        <v>7</v>
      </c>
      <c r="G568" t="str">
        <f>TEXT(agg_orders_daily_revenue[[#This Row],[Order_Date]],"yyyy-mm")</f>
        <v>2025-07</v>
      </c>
      <c r="H568">
        <f>WEEKDAY(agg_orders_daily_revenue[[#This Row],[Order_Date]],2)</f>
        <v>7</v>
      </c>
      <c r="I568" t="str">
        <f>IF(OR(agg_orders_daily_revenue[[#This Row],[Weekday_Num]]=6, agg_orders_daily_revenue[[#This Row],[Weekday_Num]]=7), "Weekend", "Weekday")</f>
        <v>Weekend</v>
      </c>
      <c r="J568" t="str">
        <f>TEXT(agg_orders_daily_revenue[[#This Row],[Order_Date]], "ddd")</f>
        <v>Sun</v>
      </c>
    </row>
    <row r="569" spans="1:10" x14ac:dyDescent="0.4">
      <c r="A569" s="1">
        <v>45859</v>
      </c>
      <c r="B569">
        <v>464802</v>
      </c>
      <c r="C569">
        <v>514138.43</v>
      </c>
      <c r="D569">
        <v>397</v>
      </c>
      <c r="E569">
        <f>YEAR(agg_orders_daily_revenue[[#This Row],[Order_Date]])</f>
        <v>2025</v>
      </c>
      <c r="F569">
        <f>MONTH(agg_orders_daily_revenue[[#This Row],[Order_Date]])</f>
        <v>7</v>
      </c>
      <c r="G569" t="str">
        <f>TEXT(agg_orders_daily_revenue[[#This Row],[Order_Date]],"yyyy-mm")</f>
        <v>2025-07</v>
      </c>
      <c r="H569">
        <f>WEEKDAY(agg_orders_daily_revenue[[#This Row],[Order_Date]],2)</f>
        <v>1</v>
      </c>
      <c r="I569" t="str">
        <f>IF(OR(agg_orders_daily_revenue[[#This Row],[Weekday_Num]]=6, agg_orders_daily_revenue[[#This Row],[Weekday_Num]]=7), "Weekend", "Weekday")</f>
        <v>Weekday</v>
      </c>
      <c r="J569" t="str">
        <f>TEXT(agg_orders_daily_revenue[[#This Row],[Order_Date]], "ddd")</f>
        <v>Mon</v>
      </c>
    </row>
    <row r="570" spans="1:10" x14ac:dyDescent="0.4">
      <c r="A570" s="1">
        <v>45860</v>
      </c>
      <c r="B570">
        <v>509875</v>
      </c>
      <c r="C570">
        <v>511675.86</v>
      </c>
      <c r="D570">
        <v>412</v>
      </c>
      <c r="E570">
        <f>YEAR(agg_orders_daily_revenue[[#This Row],[Order_Date]])</f>
        <v>2025</v>
      </c>
      <c r="F570">
        <f>MONTH(agg_orders_daily_revenue[[#This Row],[Order_Date]])</f>
        <v>7</v>
      </c>
      <c r="G570" t="str">
        <f>TEXT(agg_orders_daily_revenue[[#This Row],[Order_Date]],"yyyy-mm")</f>
        <v>2025-07</v>
      </c>
      <c r="H570">
        <f>WEEKDAY(agg_orders_daily_revenue[[#This Row],[Order_Date]],2)</f>
        <v>2</v>
      </c>
      <c r="I570" t="str">
        <f>IF(OR(agg_orders_daily_revenue[[#This Row],[Weekday_Num]]=6, agg_orders_daily_revenue[[#This Row],[Weekday_Num]]=7), "Weekend", "Weekday")</f>
        <v>Weekday</v>
      </c>
      <c r="J570" t="str">
        <f>TEXT(agg_orders_daily_revenue[[#This Row],[Order_Date]], "ddd")</f>
        <v>Tue</v>
      </c>
    </row>
    <row r="571" spans="1:10" x14ac:dyDescent="0.4">
      <c r="A571" s="1">
        <v>45861</v>
      </c>
      <c r="B571">
        <v>469899</v>
      </c>
      <c r="C571">
        <v>505457.57</v>
      </c>
      <c r="D571">
        <v>391</v>
      </c>
      <c r="E571">
        <f>YEAR(agg_orders_daily_revenue[[#This Row],[Order_Date]])</f>
        <v>2025</v>
      </c>
      <c r="F571">
        <f>MONTH(agg_orders_daily_revenue[[#This Row],[Order_Date]])</f>
        <v>7</v>
      </c>
      <c r="G571" t="str">
        <f>TEXT(agg_orders_daily_revenue[[#This Row],[Order_Date]],"yyyy-mm")</f>
        <v>2025-07</v>
      </c>
      <c r="H571">
        <f>WEEKDAY(agg_orders_daily_revenue[[#This Row],[Order_Date]],2)</f>
        <v>3</v>
      </c>
      <c r="I571" t="str">
        <f>IF(OR(agg_orders_daily_revenue[[#This Row],[Weekday_Num]]=6, agg_orders_daily_revenue[[#This Row],[Weekday_Num]]=7), "Weekend", "Weekday")</f>
        <v>Weekday</v>
      </c>
      <c r="J571" t="str">
        <f>TEXT(agg_orders_daily_revenue[[#This Row],[Order_Date]], "ddd")</f>
        <v>Wed</v>
      </c>
    </row>
    <row r="572" spans="1:10" x14ac:dyDescent="0.4">
      <c r="A572" s="1">
        <v>45862</v>
      </c>
      <c r="B572">
        <v>495650</v>
      </c>
      <c r="C572">
        <v>503168.14</v>
      </c>
      <c r="D572">
        <v>404</v>
      </c>
      <c r="E572">
        <f>YEAR(agg_orders_daily_revenue[[#This Row],[Order_Date]])</f>
        <v>2025</v>
      </c>
      <c r="F572">
        <f>MONTH(agg_orders_daily_revenue[[#This Row],[Order_Date]])</f>
        <v>7</v>
      </c>
      <c r="G572" t="str">
        <f>TEXT(agg_orders_daily_revenue[[#This Row],[Order_Date]],"yyyy-mm")</f>
        <v>2025-07</v>
      </c>
      <c r="H572">
        <f>WEEKDAY(agg_orders_daily_revenue[[#This Row],[Order_Date]],2)</f>
        <v>4</v>
      </c>
      <c r="I572" t="str">
        <f>IF(OR(agg_orders_daily_revenue[[#This Row],[Weekday_Num]]=6, agg_orders_daily_revenue[[#This Row],[Weekday_Num]]=7), "Weekend", "Weekday")</f>
        <v>Weekday</v>
      </c>
      <c r="J572" t="str">
        <f>TEXT(agg_orders_daily_revenue[[#This Row],[Order_Date]], "ddd")</f>
        <v>Thu</v>
      </c>
    </row>
    <row r="573" spans="1:10" x14ac:dyDescent="0.4">
      <c r="A573" s="1">
        <v>45863</v>
      </c>
      <c r="B573">
        <v>480307</v>
      </c>
      <c r="C573">
        <v>495130</v>
      </c>
      <c r="D573">
        <v>387</v>
      </c>
      <c r="E573">
        <f>YEAR(agg_orders_daily_revenue[[#This Row],[Order_Date]])</f>
        <v>2025</v>
      </c>
      <c r="F573">
        <f>MONTH(agg_orders_daily_revenue[[#This Row],[Order_Date]])</f>
        <v>7</v>
      </c>
      <c r="G573" t="str">
        <f>TEXT(agg_orders_daily_revenue[[#This Row],[Order_Date]],"yyyy-mm")</f>
        <v>2025-07</v>
      </c>
      <c r="H573">
        <f>WEEKDAY(agg_orders_daily_revenue[[#This Row],[Order_Date]],2)</f>
        <v>5</v>
      </c>
      <c r="I573" t="str">
        <f>IF(OR(agg_orders_daily_revenue[[#This Row],[Weekday_Num]]=6, agg_orders_daily_revenue[[#This Row],[Weekday_Num]]=7), "Weekend", "Weekday")</f>
        <v>Weekday</v>
      </c>
      <c r="J573" t="str">
        <f>TEXT(agg_orders_daily_revenue[[#This Row],[Order_Date]], "ddd")</f>
        <v>Fri</v>
      </c>
    </row>
    <row r="574" spans="1:10" x14ac:dyDescent="0.4">
      <c r="A574" s="1">
        <v>45864</v>
      </c>
      <c r="B574">
        <v>510970</v>
      </c>
      <c r="C574">
        <v>493465.29</v>
      </c>
      <c r="D574">
        <v>390</v>
      </c>
      <c r="E574">
        <f>YEAR(agg_orders_daily_revenue[[#This Row],[Order_Date]])</f>
        <v>2025</v>
      </c>
      <c r="F574">
        <f>MONTH(agg_orders_daily_revenue[[#This Row],[Order_Date]])</f>
        <v>7</v>
      </c>
      <c r="G574" t="str">
        <f>TEXT(agg_orders_daily_revenue[[#This Row],[Order_Date]],"yyyy-mm")</f>
        <v>2025-07</v>
      </c>
      <c r="H574">
        <f>WEEKDAY(agg_orders_daily_revenue[[#This Row],[Order_Date]],2)</f>
        <v>6</v>
      </c>
      <c r="I574" t="str">
        <f>IF(OR(agg_orders_daily_revenue[[#This Row],[Weekday_Num]]=6, agg_orders_daily_revenue[[#This Row],[Weekday_Num]]=7), "Weekend", "Weekday")</f>
        <v>Weekend</v>
      </c>
      <c r="J574" t="str">
        <f>TEXT(agg_orders_daily_revenue[[#This Row],[Order_Date]], "ddd")</f>
        <v>Sat</v>
      </c>
    </row>
    <row r="575" spans="1:10" x14ac:dyDescent="0.4">
      <c r="A575" s="1">
        <v>45865</v>
      </c>
      <c r="B575">
        <v>509930</v>
      </c>
      <c r="C575">
        <v>491633.29</v>
      </c>
      <c r="D575">
        <v>432</v>
      </c>
      <c r="E575">
        <f>YEAR(agg_orders_daily_revenue[[#This Row],[Order_Date]])</f>
        <v>2025</v>
      </c>
      <c r="F575">
        <f>MONTH(agg_orders_daily_revenue[[#This Row],[Order_Date]])</f>
        <v>7</v>
      </c>
      <c r="G575" t="str">
        <f>TEXT(agg_orders_daily_revenue[[#This Row],[Order_Date]],"yyyy-mm")</f>
        <v>2025-07</v>
      </c>
      <c r="H575">
        <f>WEEKDAY(agg_orders_daily_revenue[[#This Row],[Order_Date]],2)</f>
        <v>7</v>
      </c>
      <c r="I575" t="str">
        <f>IF(OR(agg_orders_daily_revenue[[#This Row],[Weekday_Num]]=6, agg_orders_daily_revenue[[#This Row],[Weekday_Num]]=7), "Weekend", "Weekday")</f>
        <v>Weekend</v>
      </c>
      <c r="J575" t="str">
        <f>TEXT(agg_orders_daily_revenue[[#This Row],[Order_Date]], "ddd")</f>
        <v>Sun</v>
      </c>
    </row>
    <row r="576" spans="1:10" x14ac:dyDescent="0.4">
      <c r="A576" s="1">
        <v>45866</v>
      </c>
      <c r="B576">
        <v>528866</v>
      </c>
      <c r="C576">
        <v>500785.29</v>
      </c>
      <c r="D576">
        <v>410</v>
      </c>
      <c r="E576">
        <f>YEAR(agg_orders_daily_revenue[[#This Row],[Order_Date]])</f>
        <v>2025</v>
      </c>
      <c r="F576">
        <f>MONTH(agg_orders_daily_revenue[[#This Row],[Order_Date]])</f>
        <v>7</v>
      </c>
      <c r="G576" t="str">
        <f>TEXT(agg_orders_daily_revenue[[#This Row],[Order_Date]],"yyyy-mm")</f>
        <v>2025-07</v>
      </c>
      <c r="H576">
        <f>WEEKDAY(agg_orders_daily_revenue[[#This Row],[Order_Date]],2)</f>
        <v>1</v>
      </c>
      <c r="I576" t="str">
        <f>IF(OR(agg_orders_daily_revenue[[#This Row],[Weekday_Num]]=6, agg_orders_daily_revenue[[#This Row],[Weekday_Num]]=7), "Weekend", "Weekday")</f>
        <v>Weekday</v>
      </c>
      <c r="J576" t="str">
        <f>TEXT(agg_orders_daily_revenue[[#This Row],[Order_Date]], "ddd")</f>
        <v>Mon</v>
      </c>
    </row>
    <row r="577" spans="1:10" x14ac:dyDescent="0.4">
      <c r="A577" s="1">
        <v>45867</v>
      </c>
      <c r="B577">
        <v>541958</v>
      </c>
      <c r="C577">
        <v>505368.57</v>
      </c>
      <c r="D577">
        <v>404</v>
      </c>
      <c r="E577">
        <f>YEAR(agg_orders_daily_revenue[[#This Row],[Order_Date]])</f>
        <v>2025</v>
      </c>
      <c r="F577">
        <f>MONTH(agg_orders_daily_revenue[[#This Row],[Order_Date]])</f>
        <v>7</v>
      </c>
      <c r="G577" t="str">
        <f>TEXT(agg_orders_daily_revenue[[#This Row],[Order_Date]],"yyyy-mm")</f>
        <v>2025-07</v>
      </c>
      <c r="H577">
        <f>WEEKDAY(agg_orders_daily_revenue[[#This Row],[Order_Date]],2)</f>
        <v>2</v>
      </c>
      <c r="I577" t="str">
        <f>IF(OR(agg_orders_daily_revenue[[#This Row],[Weekday_Num]]=6, agg_orders_daily_revenue[[#This Row],[Weekday_Num]]=7), "Weekend", "Weekday")</f>
        <v>Weekday</v>
      </c>
      <c r="J577" t="str">
        <f>TEXT(agg_orders_daily_revenue[[#This Row],[Order_Date]], "ddd")</f>
        <v>Tue</v>
      </c>
    </row>
    <row r="578" spans="1:10" x14ac:dyDescent="0.4">
      <c r="A578" s="1">
        <v>45868</v>
      </c>
      <c r="B578">
        <v>472390</v>
      </c>
      <c r="C578">
        <v>505724.43</v>
      </c>
      <c r="D578">
        <v>382</v>
      </c>
      <c r="E578">
        <f>YEAR(agg_orders_daily_revenue[[#This Row],[Order_Date]])</f>
        <v>2025</v>
      </c>
      <c r="F578">
        <f>MONTH(agg_orders_daily_revenue[[#This Row],[Order_Date]])</f>
        <v>7</v>
      </c>
      <c r="G578" t="str">
        <f>TEXT(agg_orders_daily_revenue[[#This Row],[Order_Date]],"yyyy-mm")</f>
        <v>2025-07</v>
      </c>
      <c r="H578">
        <f>WEEKDAY(agg_orders_daily_revenue[[#This Row],[Order_Date]],2)</f>
        <v>3</v>
      </c>
      <c r="I578" t="str">
        <f>IF(OR(agg_orders_daily_revenue[[#This Row],[Weekday_Num]]=6, agg_orders_daily_revenue[[#This Row],[Weekday_Num]]=7), "Weekend", "Weekday")</f>
        <v>Weekday</v>
      </c>
      <c r="J578" t="str">
        <f>TEXT(agg_orders_daily_revenue[[#This Row],[Order_Date]], "ddd")</f>
        <v>Wed</v>
      </c>
    </row>
    <row r="579" spans="1:10" x14ac:dyDescent="0.4">
      <c r="A579" s="1">
        <v>45869</v>
      </c>
      <c r="B579">
        <v>512912</v>
      </c>
      <c r="C579">
        <v>508190.43</v>
      </c>
      <c r="D579">
        <v>418</v>
      </c>
      <c r="E579">
        <f>YEAR(agg_orders_daily_revenue[[#This Row],[Order_Date]])</f>
        <v>2025</v>
      </c>
      <c r="F579">
        <f>MONTH(agg_orders_daily_revenue[[#This Row],[Order_Date]])</f>
        <v>7</v>
      </c>
      <c r="G579" t="str">
        <f>TEXT(agg_orders_daily_revenue[[#This Row],[Order_Date]],"yyyy-mm")</f>
        <v>2025-07</v>
      </c>
      <c r="H579">
        <f>WEEKDAY(agg_orders_daily_revenue[[#This Row],[Order_Date]],2)</f>
        <v>4</v>
      </c>
      <c r="I579" t="str">
        <f>IF(OR(agg_orders_daily_revenue[[#This Row],[Weekday_Num]]=6, agg_orders_daily_revenue[[#This Row],[Weekday_Num]]=7), "Weekend", "Weekday")</f>
        <v>Weekday</v>
      </c>
      <c r="J579" t="str">
        <f>TEXT(agg_orders_daily_revenue[[#This Row],[Order_Date]], "ddd")</f>
        <v>Thu</v>
      </c>
    </row>
    <row r="580" spans="1:10" x14ac:dyDescent="0.4">
      <c r="A580" s="1">
        <v>45870</v>
      </c>
      <c r="B580">
        <v>576013</v>
      </c>
      <c r="C580">
        <v>521862.71</v>
      </c>
      <c r="D580">
        <v>445</v>
      </c>
      <c r="E580">
        <f>YEAR(agg_orders_daily_revenue[[#This Row],[Order_Date]])</f>
        <v>2025</v>
      </c>
      <c r="F580">
        <f>MONTH(agg_orders_daily_revenue[[#This Row],[Order_Date]])</f>
        <v>8</v>
      </c>
      <c r="G580" t="str">
        <f>TEXT(agg_orders_daily_revenue[[#This Row],[Order_Date]],"yyyy-mm")</f>
        <v>2025-08</v>
      </c>
      <c r="H580">
        <f>WEEKDAY(agg_orders_daily_revenue[[#This Row],[Order_Date]],2)</f>
        <v>5</v>
      </c>
      <c r="I580" t="str">
        <f>IF(OR(agg_orders_daily_revenue[[#This Row],[Weekday_Num]]=6, agg_orders_daily_revenue[[#This Row],[Weekday_Num]]=7), "Weekend", "Weekday")</f>
        <v>Weekday</v>
      </c>
      <c r="J580" t="str">
        <f>TEXT(agg_orders_daily_revenue[[#This Row],[Order_Date]], "ddd")</f>
        <v>Fri</v>
      </c>
    </row>
    <row r="581" spans="1:10" x14ac:dyDescent="0.4">
      <c r="A581" s="1">
        <v>45871</v>
      </c>
      <c r="B581">
        <v>498320</v>
      </c>
      <c r="C581">
        <v>520055.57</v>
      </c>
      <c r="D581">
        <v>401</v>
      </c>
      <c r="E581">
        <f>YEAR(agg_orders_daily_revenue[[#This Row],[Order_Date]])</f>
        <v>2025</v>
      </c>
      <c r="F581">
        <f>MONTH(agg_orders_daily_revenue[[#This Row],[Order_Date]])</f>
        <v>8</v>
      </c>
      <c r="G581" t="str">
        <f>TEXT(agg_orders_daily_revenue[[#This Row],[Order_Date]],"yyyy-mm")</f>
        <v>2025-08</v>
      </c>
      <c r="H581">
        <f>WEEKDAY(agg_orders_daily_revenue[[#This Row],[Order_Date]],2)</f>
        <v>6</v>
      </c>
      <c r="I581" t="str">
        <f>IF(OR(agg_orders_daily_revenue[[#This Row],[Weekday_Num]]=6, agg_orders_daily_revenue[[#This Row],[Weekday_Num]]=7), "Weekend", "Weekday")</f>
        <v>Weekend</v>
      </c>
      <c r="J581" t="str">
        <f>TEXT(agg_orders_daily_revenue[[#This Row],[Order_Date]], "ddd")</f>
        <v>Sat</v>
      </c>
    </row>
    <row r="582" spans="1:10" x14ac:dyDescent="0.4">
      <c r="A582" s="1">
        <v>45872</v>
      </c>
      <c r="B582">
        <v>537642</v>
      </c>
      <c r="C582">
        <v>524014.43</v>
      </c>
      <c r="D582">
        <v>431</v>
      </c>
      <c r="E582">
        <f>YEAR(agg_orders_daily_revenue[[#This Row],[Order_Date]])</f>
        <v>2025</v>
      </c>
      <c r="F582">
        <f>MONTH(agg_orders_daily_revenue[[#This Row],[Order_Date]])</f>
        <v>8</v>
      </c>
      <c r="G582" t="str">
        <f>TEXT(agg_orders_daily_revenue[[#This Row],[Order_Date]],"yyyy-mm")</f>
        <v>2025-08</v>
      </c>
      <c r="H582">
        <f>WEEKDAY(agg_orders_daily_revenue[[#This Row],[Order_Date]],2)</f>
        <v>7</v>
      </c>
      <c r="I582" t="str">
        <f>IF(OR(agg_orders_daily_revenue[[#This Row],[Weekday_Num]]=6, agg_orders_daily_revenue[[#This Row],[Weekday_Num]]=7), "Weekend", "Weekday")</f>
        <v>Weekend</v>
      </c>
      <c r="J582" t="str">
        <f>TEXT(agg_orders_daily_revenue[[#This Row],[Order_Date]], "ddd")</f>
        <v>Sun</v>
      </c>
    </row>
    <row r="583" spans="1:10" x14ac:dyDescent="0.4">
      <c r="A583" s="1">
        <v>45873</v>
      </c>
      <c r="B583">
        <v>506249</v>
      </c>
      <c r="C583">
        <v>520783.43</v>
      </c>
      <c r="D583">
        <v>407</v>
      </c>
      <c r="E583">
        <f>YEAR(agg_orders_daily_revenue[[#This Row],[Order_Date]])</f>
        <v>2025</v>
      </c>
      <c r="F583">
        <f>MONTH(agg_orders_daily_revenue[[#This Row],[Order_Date]])</f>
        <v>8</v>
      </c>
      <c r="G583" t="str">
        <f>TEXT(agg_orders_daily_revenue[[#This Row],[Order_Date]],"yyyy-mm")</f>
        <v>2025-08</v>
      </c>
      <c r="H583">
        <f>WEEKDAY(agg_orders_daily_revenue[[#This Row],[Order_Date]],2)</f>
        <v>1</v>
      </c>
      <c r="I583" t="str">
        <f>IF(OR(agg_orders_daily_revenue[[#This Row],[Weekday_Num]]=6, agg_orders_daily_revenue[[#This Row],[Weekday_Num]]=7), "Weekend", "Weekday")</f>
        <v>Weekday</v>
      </c>
      <c r="J583" t="str">
        <f>TEXT(agg_orders_daily_revenue[[#This Row],[Order_Date]], "ddd")</f>
        <v>Mon</v>
      </c>
    </row>
    <row r="584" spans="1:10" x14ac:dyDescent="0.4">
      <c r="A584" s="1">
        <v>45874</v>
      </c>
      <c r="B584">
        <v>569307</v>
      </c>
      <c r="C584">
        <v>524690.43000000005</v>
      </c>
      <c r="D584">
        <v>423</v>
      </c>
      <c r="E584">
        <f>YEAR(agg_orders_daily_revenue[[#This Row],[Order_Date]])</f>
        <v>2025</v>
      </c>
      <c r="F584">
        <f>MONTH(agg_orders_daily_revenue[[#This Row],[Order_Date]])</f>
        <v>8</v>
      </c>
      <c r="G584" t="str">
        <f>TEXT(agg_orders_daily_revenue[[#This Row],[Order_Date]],"yyyy-mm")</f>
        <v>2025-08</v>
      </c>
      <c r="H584">
        <f>WEEKDAY(agg_orders_daily_revenue[[#This Row],[Order_Date]],2)</f>
        <v>2</v>
      </c>
      <c r="I584" t="str">
        <f>IF(OR(agg_orders_daily_revenue[[#This Row],[Weekday_Num]]=6, agg_orders_daily_revenue[[#This Row],[Weekday_Num]]=7), "Weekend", "Weekday")</f>
        <v>Weekday</v>
      </c>
      <c r="J584" t="str">
        <f>TEXT(agg_orders_daily_revenue[[#This Row],[Order_Date]], "ddd")</f>
        <v>Tue</v>
      </c>
    </row>
    <row r="585" spans="1:10" x14ac:dyDescent="0.4">
      <c r="A585" s="1">
        <v>45875</v>
      </c>
      <c r="B585">
        <v>524132</v>
      </c>
      <c r="C585">
        <v>532082.14</v>
      </c>
      <c r="D585">
        <v>423</v>
      </c>
      <c r="E585">
        <f>YEAR(agg_orders_daily_revenue[[#This Row],[Order_Date]])</f>
        <v>2025</v>
      </c>
      <c r="F585">
        <f>MONTH(agg_orders_daily_revenue[[#This Row],[Order_Date]])</f>
        <v>8</v>
      </c>
      <c r="G585" t="str">
        <f>TEXT(agg_orders_daily_revenue[[#This Row],[Order_Date]],"yyyy-mm")</f>
        <v>2025-08</v>
      </c>
      <c r="H585">
        <f>WEEKDAY(agg_orders_daily_revenue[[#This Row],[Order_Date]],2)</f>
        <v>3</v>
      </c>
      <c r="I585" t="str">
        <f>IF(OR(agg_orders_daily_revenue[[#This Row],[Weekday_Num]]=6, agg_orders_daily_revenue[[#This Row],[Weekday_Num]]=7), "Weekend", "Weekday")</f>
        <v>Weekday</v>
      </c>
      <c r="J585" t="str">
        <f>TEXT(agg_orders_daily_revenue[[#This Row],[Order_Date]], "ddd")</f>
        <v>Wed</v>
      </c>
    </row>
    <row r="586" spans="1:10" x14ac:dyDescent="0.4">
      <c r="A586" s="1">
        <v>45876</v>
      </c>
      <c r="B586">
        <v>483649</v>
      </c>
      <c r="C586">
        <v>527901.71</v>
      </c>
      <c r="D586">
        <v>413</v>
      </c>
      <c r="E586">
        <f>YEAR(agg_orders_daily_revenue[[#This Row],[Order_Date]])</f>
        <v>2025</v>
      </c>
      <c r="F586">
        <f>MONTH(agg_orders_daily_revenue[[#This Row],[Order_Date]])</f>
        <v>8</v>
      </c>
      <c r="G586" t="str">
        <f>TEXT(agg_orders_daily_revenue[[#This Row],[Order_Date]],"yyyy-mm")</f>
        <v>2025-08</v>
      </c>
      <c r="H586">
        <f>WEEKDAY(agg_orders_daily_revenue[[#This Row],[Order_Date]],2)</f>
        <v>4</v>
      </c>
      <c r="I586" t="str">
        <f>IF(OR(agg_orders_daily_revenue[[#This Row],[Weekday_Num]]=6, agg_orders_daily_revenue[[#This Row],[Weekday_Num]]=7), "Weekend", "Weekday")</f>
        <v>Weekday</v>
      </c>
      <c r="J586" t="str">
        <f>TEXT(agg_orders_daily_revenue[[#This Row],[Order_Date]], "ddd")</f>
        <v>Thu</v>
      </c>
    </row>
    <row r="587" spans="1:10" x14ac:dyDescent="0.4">
      <c r="A587" s="1">
        <v>45877</v>
      </c>
      <c r="B587">
        <v>525475</v>
      </c>
      <c r="C587">
        <v>520682</v>
      </c>
      <c r="D587">
        <v>417</v>
      </c>
      <c r="E587">
        <f>YEAR(agg_orders_daily_revenue[[#This Row],[Order_Date]])</f>
        <v>2025</v>
      </c>
      <c r="F587">
        <f>MONTH(agg_orders_daily_revenue[[#This Row],[Order_Date]])</f>
        <v>8</v>
      </c>
      <c r="G587" t="str">
        <f>TEXT(agg_orders_daily_revenue[[#This Row],[Order_Date]],"yyyy-mm")</f>
        <v>2025-08</v>
      </c>
      <c r="H587">
        <f>WEEKDAY(agg_orders_daily_revenue[[#This Row],[Order_Date]],2)</f>
        <v>5</v>
      </c>
      <c r="I587" t="str">
        <f>IF(OR(agg_orders_daily_revenue[[#This Row],[Weekday_Num]]=6, agg_orders_daily_revenue[[#This Row],[Weekday_Num]]=7), "Weekend", "Weekday")</f>
        <v>Weekday</v>
      </c>
      <c r="J587" t="str">
        <f>TEXT(agg_orders_daily_revenue[[#This Row],[Order_Date]], "ddd")</f>
        <v>Fri</v>
      </c>
    </row>
    <row r="588" spans="1:10" x14ac:dyDescent="0.4">
      <c r="A588" s="1">
        <v>45878</v>
      </c>
      <c r="B588">
        <v>489476</v>
      </c>
      <c r="C588">
        <v>519418.57</v>
      </c>
      <c r="D588">
        <v>404</v>
      </c>
      <c r="E588">
        <f>YEAR(agg_orders_daily_revenue[[#This Row],[Order_Date]])</f>
        <v>2025</v>
      </c>
      <c r="F588">
        <f>MONTH(agg_orders_daily_revenue[[#This Row],[Order_Date]])</f>
        <v>8</v>
      </c>
      <c r="G588" t="str">
        <f>TEXT(agg_orders_daily_revenue[[#This Row],[Order_Date]],"yyyy-mm")</f>
        <v>2025-08</v>
      </c>
      <c r="H588">
        <f>WEEKDAY(agg_orders_daily_revenue[[#This Row],[Order_Date]],2)</f>
        <v>6</v>
      </c>
      <c r="I588" t="str">
        <f>IF(OR(agg_orders_daily_revenue[[#This Row],[Weekday_Num]]=6, agg_orders_daily_revenue[[#This Row],[Weekday_Num]]=7), "Weekend", "Weekday")</f>
        <v>Weekend</v>
      </c>
      <c r="J588" t="str">
        <f>TEXT(agg_orders_daily_revenue[[#This Row],[Order_Date]], "ddd")</f>
        <v>Sat</v>
      </c>
    </row>
    <row r="589" spans="1:10" x14ac:dyDescent="0.4">
      <c r="A589" s="1">
        <v>45879</v>
      </c>
      <c r="B589">
        <v>512603</v>
      </c>
      <c r="C589">
        <v>515841.57</v>
      </c>
      <c r="D589">
        <v>388</v>
      </c>
      <c r="E589">
        <f>YEAR(agg_orders_daily_revenue[[#This Row],[Order_Date]])</f>
        <v>2025</v>
      </c>
      <c r="F589">
        <f>MONTH(agg_orders_daily_revenue[[#This Row],[Order_Date]])</f>
        <v>8</v>
      </c>
      <c r="G589" t="str">
        <f>TEXT(agg_orders_daily_revenue[[#This Row],[Order_Date]],"yyyy-mm")</f>
        <v>2025-08</v>
      </c>
      <c r="H589">
        <f>WEEKDAY(agg_orders_daily_revenue[[#This Row],[Order_Date]],2)</f>
        <v>7</v>
      </c>
      <c r="I589" t="str">
        <f>IF(OR(agg_orders_daily_revenue[[#This Row],[Weekday_Num]]=6, agg_orders_daily_revenue[[#This Row],[Weekday_Num]]=7), "Weekend", "Weekday")</f>
        <v>Weekend</v>
      </c>
      <c r="J589" t="str">
        <f>TEXT(agg_orders_daily_revenue[[#This Row],[Order_Date]], "ddd")</f>
        <v>Sun</v>
      </c>
    </row>
    <row r="590" spans="1:10" x14ac:dyDescent="0.4">
      <c r="A590" s="1">
        <v>45880</v>
      </c>
      <c r="B590">
        <v>565833</v>
      </c>
      <c r="C590">
        <v>524353.56999999995</v>
      </c>
      <c r="D590">
        <v>457</v>
      </c>
      <c r="E590">
        <f>YEAR(agg_orders_daily_revenue[[#This Row],[Order_Date]])</f>
        <v>2025</v>
      </c>
      <c r="F590">
        <f>MONTH(agg_orders_daily_revenue[[#This Row],[Order_Date]])</f>
        <v>8</v>
      </c>
      <c r="G590" t="str">
        <f>TEXT(agg_orders_daily_revenue[[#This Row],[Order_Date]],"yyyy-mm")</f>
        <v>2025-08</v>
      </c>
      <c r="H590">
        <f>WEEKDAY(agg_orders_daily_revenue[[#This Row],[Order_Date]],2)</f>
        <v>1</v>
      </c>
      <c r="I590" t="str">
        <f>IF(OR(agg_orders_daily_revenue[[#This Row],[Weekday_Num]]=6, agg_orders_daily_revenue[[#This Row],[Weekday_Num]]=7), "Weekend", "Weekday")</f>
        <v>Weekday</v>
      </c>
      <c r="J590" t="str">
        <f>TEXT(agg_orders_daily_revenue[[#This Row],[Order_Date]], "ddd")</f>
        <v>Mon</v>
      </c>
    </row>
    <row r="591" spans="1:10" x14ac:dyDescent="0.4">
      <c r="A591" s="1">
        <v>45881</v>
      </c>
      <c r="B591">
        <v>480204</v>
      </c>
      <c r="C591">
        <v>511624.57</v>
      </c>
      <c r="D591">
        <v>399</v>
      </c>
      <c r="E591">
        <f>YEAR(agg_orders_daily_revenue[[#This Row],[Order_Date]])</f>
        <v>2025</v>
      </c>
      <c r="F591">
        <f>MONTH(agg_orders_daily_revenue[[#This Row],[Order_Date]])</f>
        <v>8</v>
      </c>
      <c r="G591" t="str">
        <f>TEXT(agg_orders_daily_revenue[[#This Row],[Order_Date]],"yyyy-mm")</f>
        <v>2025-08</v>
      </c>
      <c r="H591">
        <f>WEEKDAY(agg_orders_daily_revenue[[#This Row],[Order_Date]],2)</f>
        <v>2</v>
      </c>
      <c r="I591" t="str">
        <f>IF(OR(agg_orders_daily_revenue[[#This Row],[Weekday_Num]]=6, agg_orders_daily_revenue[[#This Row],[Weekday_Num]]=7), "Weekend", "Weekday")</f>
        <v>Weekday</v>
      </c>
      <c r="J591" t="str">
        <f>TEXT(agg_orders_daily_revenue[[#This Row],[Order_Date]], "ddd")</f>
        <v>Tue</v>
      </c>
    </row>
    <row r="592" spans="1:10" x14ac:dyDescent="0.4">
      <c r="A592" s="1">
        <v>45882</v>
      </c>
      <c r="B592">
        <v>479463</v>
      </c>
      <c r="C592">
        <v>505243.29</v>
      </c>
      <c r="D592">
        <v>393</v>
      </c>
      <c r="E592">
        <f>YEAR(agg_orders_daily_revenue[[#This Row],[Order_Date]])</f>
        <v>2025</v>
      </c>
      <c r="F592">
        <f>MONTH(agg_orders_daily_revenue[[#This Row],[Order_Date]])</f>
        <v>8</v>
      </c>
      <c r="G592" t="str">
        <f>TEXT(agg_orders_daily_revenue[[#This Row],[Order_Date]],"yyyy-mm")</f>
        <v>2025-08</v>
      </c>
      <c r="H592">
        <f>WEEKDAY(agg_orders_daily_revenue[[#This Row],[Order_Date]],2)</f>
        <v>3</v>
      </c>
      <c r="I592" t="str">
        <f>IF(OR(agg_orders_daily_revenue[[#This Row],[Weekday_Num]]=6, agg_orders_daily_revenue[[#This Row],[Weekday_Num]]=7), "Weekend", "Weekday")</f>
        <v>Weekday</v>
      </c>
      <c r="J592" t="str">
        <f>TEXT(agg_orders_daily_revenue[[#This Row],[Order_Date]], "ddd")</f>
        <v>Wed</v>
      </c>
    </row>
    <row r="593" spans="1:10" x14ac:dyDescent="0.4">
      <c r="A593" s="1">
        <v>45883</v>
      </c>
      <c r="B593">
        <v>515324</v>
      </c>
      <c r="C593">
        <v>509768.29</v>
      </c>
      <c r="D593">
        <v>399</v>
      </c>
      <c r="E593">
        <f>YEAR(agg_orders_daily_revenue[[#This Row],[Order_Date]])</f>
        <v>2025</v>
      </c>
      <c r="F593">
        <f>MONTH(agg_orders_daily_revenue[[#This Row],[Order_Date]])</f>
        <v>8</v>
      </c>
      <c r="G593" t="str">
        <f>TEXT(agg_orders_daily_revenue[[#This Row],[Order_Date]],"yyyy-mm")</f>
        <v>2025-08</v>
      </c>
      <c r="H593">
        <f>WEEKDAY(agg_orders_daily_revenue[[#This Row],[Order_Date]],2)</f>
        <v>4</v>
      </c>
      <c r="I593" t="str">
        <f>IF(OR(agg_orders_daily_revenue[[#This Row],[Weekday_Num]]=6, agg_orders_daily_revenue[[#This Row],[Weekday_Num]]=7), "Weekend", "Weekday")</f>
        <v>Weekday</v>
      </c>
      <c r="J593" t="str">
        <f>TEXT(agg_orders_daily_revenue[[#This Row],[Order_Date]], "ddd")</f>
        <v>Thu</v>
      </c>
    </row>
    <row r="594" spans="1:10" x14ac:dyDescent="0.4">
      <c r="A594" s="1">
        <v>45884</v>
      </c>
      <c r="B594">
        <v>548337</v>
      </c>
      <c r="C594">
        <v>513034.29</v>
      </c>
      <c r="D594">
        <v>430</v>
      </c>
      <c r="E594">
        <f>YEAR(agg_orders_daily_revenue[[#This Row],[Order_Date]])</f>
        <v>2025</v>
      </c>
      <c r="F594">
        <f>MONTH(agg_orders_daily_revenue[[#This Row],[Order_Date]])</f>
        <v>8</v>
      </c>
      <c r="G594" t="str">
        <f>TEXT(agg_orders_daily_revenue[[#This Row],[Order_Date]],"yyyy-mm")</f>
        <v>2025-08</v>
      </c>
      <c r="H594">
        <f>WEEKDAY(agg_orders_daily_revenue[[#This Row],[Order_Date]],2)</f>
        <v>5</v>
      </c>
      <c r="I594" t="str">
        <f>IF(OR(agg_orders_daily_revenue[[#This Row],[Weekday_Num]]=6, agg_orders_daily_revenue[[#This Row],[Weekday_Num]]=7), "Weekend", "Weekday")</f>
        <v>Weekday</v>
      </c>
      <c r="J594" t="str">
        <f>TEXT(agg_orders_daily_revenue[[#This Row],[Order_Date]], "ddd")</f>
        <v>Fri</v>
      </c>
    </row>
    <row r="595" spans="1:10" x14ac:dyDescent="0.4">
      <c r="A595" s="1">
        <v>45885</v>
      </c>
      <c r="B595">
        <v>579153</v>
      </c>
      <c r="C595">
        <v>525845.29</v>
      </c>
      <c r="D595">
        <v>445</v>
      </c>
      <c r="E595">
        <f>YEAR(agg_orders_daily_revenue[[#This Row],[Order_Date]])</f>
        <v>2025</v>
      </c>
      <c r="F595">
        <f>MONTH(agg_orders_daily_revenue[[#This Row],[Order_Date]])</f>
        <v>8</v>
      </c>
      <c r="G595" t="str">
        <f>TEXT(agg_orders_daily_revenue[[#This Row],[Order_Date]],"yyyy-mm")</f>
        <v>2025-08</v>
      </c>
      <c r="H595">
        <f>WEEKDAY(agg_orders_daily_revenue[[#This Row],[Order_Date]],2)</f>
        <v>6</v>
      </c>
      <c r="I595" t="str">
        <f>IF(OR(agg_orders_daily_revenue[[#This Row],[Weekday_Num]]=6, agg_orders_daily_revenue[[#This Row],[Weekday_Num]]=7), "Weekend", "Weekday")</f>
        <v>Weekend</v>
      </c>
      <c r="J595" t="str">
        <f>TEXT(agg_orders_daily_revenue[[#This Row],[Order_Date]], "ddd")</f>
        <v>Sat</v>
      </c>
    </row>
    <row r="596" spans="1:10" x14ac:dyDescent="0.4">
      <c r="A596" s="1">
        <v>45886</v>
      </c>
      <c r="B596">
        <v>471074</v>
      </c>
      <c r="C596">
        <v>519912.57</v>
      </c>
      <c r="D596">
        <v>379</v>
      </c>
      <c r="E596">
        <f>YEAR(agg_orders_daily_revenue[[#This Row],[Order_Date]])</f>
        <v>2025</v>
      </c>
      <c r="F596">
        <f>MONTH(agg_orders_daily_revenue[[#This Row],[Order_Date]])</f>
        <v>8</v>
      </c>
      <c r="G596" t="str">
        <f>TEXT(agg_orders_daily_revenue[[#This Row],[Order_Date]],"yyyy-mm")</f>
        <v>2025-08</v>
      </c>
      <c r="H596">
        <f>WEEKDAY(agg_orders_daily_revenue[[#This Row],[Order_Date]],2)</f>
        <v>7</v>
      </c>
      <c r="I596" t="str">
        <f>IF(OR(agg_orders_daily_revenue[[#This Row],[Weekday_Num]]=6, agg_orders_daily_revenue[[#This Row],[Weekday_Num]]=7), "Weekend", "Weekday")</f>
        <v>Weekend</v>
      </c>
      <c r="J596" t="str">
        <f>TEXT(agg_orders_daily_revenue[[#This Row],[Order_Date]], "ddd")</f>
        <v>Sun</v>
      </c>
    </row>
    <row r="597" spans="1:10" x14ac:dyDescent="0.4">
      <c r="A597" s="1">
        <v>45887</v>
      </c>
      <c r="B597">
        <v>483859</v>
      </c>
      <c r="C597">
        <v>508202</v>
      </c>
      <c r="D597">
        <v>395</v>
      </c>
      <c r="E597">
        <f>YEAR(agg_orders_daily_revenue[[#This Row],[Order_Date]])</f>
        <v>2025</v>
      </c>
      <c r="F597">
        <f>MONTH(agg_orders_daily_revenue[[#This Row],[Order_Date]])</f>
        <v>8</v>
      </c>
      <c r="G597" t="str">
        <f>TEXT(agg_orders_daily_revenue[[#This Row],[Order_Date]],"yyyy-mm")</f>
        <v>2025-08</v>
      </c>
      <c r="H597">
        <f>WEEKDAY(agg_orders_daily_revenue[[#This Row],[Order_Date]],2)</f>
        <v>1</v>
      </c>
      <c r="I597" t="str">
        <f>IF(OR(agg_orders_daily_revenue[[#This Row],[Weekday_Num]]=6, agg_orders_daily_revenue[[#This Row],[Weekday_Num]]=7), "Weekend", "Weekday")</f>
        <v>Weekday</v>
      </c>
      <c r="J597" t="str">
        <f>TEXT(agg_orders_daily_revenue[[#This Row],[Order_Date]], "ddd")</f>
        <v>Mon</v>
      </c>
    </row>
    <row r="598" spans="1:10" x14ac:dyDescent="0.4">
      <c r="A598" s="1">
        <v>45888</v>
      </c>
      <c r="B598">
        <v>478274</v>
      </c>
      <c r="C598">
        <v>507926.29</v>
      </c>
      <c r="D598">
        <v>388</v>
      </c>
      <c r="E598">
        <f>YEAR(agg_orders_daily_revenue[[#This Row],[Order_Date]])</f>
        <v>2025</v>
      </c>
      <c r="F598">
        <f>MONTH(agg_orders_daily_revenue[[#This Row],[Order_Date]])</f>
        <v>8</v>
      </c>
      <c r="G598" t="str">
        <f>TEXT(agg_orders_daily_revenue[[#This Row],[Order_Date]],"yyyy-mm")</f>
        <v>2025-08</v>
      </c>
      <c r="H598">
        <f>WEEKDAY(agg_orders_daily_revenue[[#This Row],[Order_Date]],2)</f>
        <v>2</v>
      </c>
      <c r="I598" t="str">
        <f>IF(OR(agg_orders_daily_revenue[[#This Row],[Weekday_Num]]=6, agg_orders_daily_revenue[[#This Row],[Weekday_Num]]=7), "Weekend", "Weekday")</f>
        <v>Weekday</v>
      </c>
      <c r="J598" t="str">
        <f>TEXT(agg_orders_daily_revenue[[#This Row],[Order_Date]], "ddd")</f>
        <v>Tue</v>
      </c>
    </row>
    <row r="599" spans="1:10" x14ac:dyDescent="0.4">
      <c r="A599" s="1">
        <v>45889</v>
      </c>
      <c r="B599">
        <v>462942</v>
      </c>
      <c r="C599">
        <v>505566.14</v>
      </c>
      <c r="D599">
        <v>396</v>
      </c>
      <c r="E599">
        <f>YEAR(agg_orders_daily_revenue[[#This Row],[Order_Date]])</f>
        <v>2025</v>
      </c>
      <c r="F599">
        <f>MONTH(agg_orders_daily_revenue[[#This Row],[Order_Date]])</f>
        <v>8</v>
      </c>
      <c r="G599" t="str">
        <f>TEXT(agg_orders_daily_revenue[[#This Row],[Order_Date]],"yyyy-mm")</f>
        <v>2025-08</v>
      </c>
      <c r="H599">
        <f>WEEKDAY(agg_orders_daily_revenue[[#This Row],[Order_Date]],2)</f>
        <v>3</v>
      </c>
      <c r="I599" t="str">
        <f>IF(OR(agg_orders_daily_revenue[[#This Row],[Weekday_Num]]=6, agg_orders_daily_revenue[[#This Row],[Weekday_Num]]=7), "Weekend", "Weekday")</f>
        <v>Weekday</v>
      </c>
      <c r="J599" t="str">
        <f>TEXT(agg_orders_daily_revenue[[#This Row],[Order_Date]], "ddd")</f>
        <v>Wed</v>
      </c>
    </row>
    <row r="600" spans="1:10" x14ac:dyDescent="0.4">
      <c r="A600" s="1">
        <v>45890</v>
      </c>
      <c r="B600">
        <v>493268</v>
      </c>
      <c r="C600">
        <v>502415.29</v>
      </c>
      <c r="D600">
        <v>403</v>
      </c>
      <c r="E600">
        <f>YEAR(agg_orders_daily_revenue[[#This Row],[Order_Date]])</f>
        <v>2025</v>
      </c>
      <c r="F600">
        <f>MONTH(agg_orders_daily_revenue[[#This Row],[Order_Date]])</f>
        <v>8</v>
      </c>
      <c r="G600" t="str">
        <f>TEXT(agg_orders_daily_revenue[[#This Row],[Order_Date]],"yyyy-mm")</f>
        <v>2025-08</v>
      </c>
      <c r="H600">
        <f>WEEKDAY(agg_orders_daily_revenue[[#This Row],[Order_Date]],2)</f>
        <v>4</v>
      </c>
      <c r="I600" t="str">
        <f>IF(OR(agg_orders_daily_revenue[[#This Row],[Weekday_Num]]=6, agg_orders_daily_revenue[[#This Row],[Weekday_Num]]=7), "Weekend", "Weekday")</f>
        <v>Weekday</v>
      </c>
      <c r="J600" t="str">
        <f>TEXT(agg_orders_daily_revenue[[#This Row],[Order_Date]], "ddd")</f>
        <v>Thu</v>
      </c>
    </row>
    <row r="601" spans="1:10" x14ac:dyDescent="0.4">
      <c r="A601" s="1">
        <v>45891</v>
      </c>
      <c r="B601">
        <v>459853</v>
      </c>
      <c r="C601">
        <v>489774.71</v>
      </c>
      <c r="D601">
        <v>377</v>
      </c>
      <c r="E601">
        <f>YEAR(agg_orders_daily_revenue[[#This Row],[Order_Date]])</f>
        <v>2025</v>
      </c>
      <c r="F601">
        <f>MONTH(agg_orders_daily_revenue[[#This Row],[Order_Date]])</f>
        <v>8</v>
      </c>
      <c r="G601" t="str">
        <f>TEXT(agg_orders_daily_revenue[[#This Row],[Order_Date]],"yyyy-mm")</f>
        <v>2025-08</v>
      </c>
      <c r="H601">
        <f>WEEKDAY(agg_orders_daily_revenue[[#This Row],[Order_Date]],2)</f>
        <v>5</v>
      </c>
      <c r="I601" t="str">
        <f>IF(OR(agg_orders_daily_revenue[[#This Row],[Weekday_Num]]=6, agg_orders_daily_revenue[[#This Row],[Weekday_Num]]=7), "Weekend", "Weekday")</f>
        <v>Weekday</v>
      </c>
      <c r="J601" t="str">
        <f>TEXT(agg_orders_daily_revenue[[#This Row],[Order_Date]], "ddd")</f>
        <v>Fri</v>
      </c>
    </row>
    <row r="602" spans="1:10" x14ac:dyDescent="0.4">
      <c r="A602" s="1">
        <v>45892</v>
      </c>
      <c r="B602">
        <v>509067</v>
      </c>
      <c r="C602">
        <v>479762.43</v>
      </c>
      <c r="D602">
        <v>395</v>
      </c>
      <c r="E602">
        <f>YEAR(agg_orders_daily_revenue[[#This Row],[Order_Date]])</f>
        <v>2025</v>
      </c>
      <c r="F602">
        <f>MONTH(agg_orders_daily_revenue[[#This Row],[Order_Date]])</f>
        <v>8</v>
      </c>
      <c r="G602" t="str">
        <f>TEXT(agg_orders_daily_revenue[[#This Row],[Order_Date]],"yyyy-mm")</f>
        <v>2025-08</v>
      </c>
      <c r="H602">
        <f>WEEKDAY(agg_orders_daily_revenue[[#This Row],[Order_Date]],2)</f>
        <v>6</v>
      </c>
      <c r="I602" t="str">
        <f>IF(OR(agg_orders_daily_revenue[[#This Row],[Weekday_Num]]=6, agg_orders_daily_revenue[[#This Row],[Weekday_Num]]=7), "Weekend", "Weekday")</f>
        <v>Weekend</v>
      </c>
      <c r="J602" t="str">
        <f>TEXT(agg_orders_daily_revenue[[#This Row],[Order_Date]], "ddd")</f>
        <v>Sat</v>
      </c>
    </row>
    <row r="603" spans="1:10" x14ac:dyDescent="0.4">
      <c r="A603" s="1">
        <v>45893</v>
      </c>
      <c r="B603">
        <v>561773</v>
      </c>
      <c r="C603">
        <v>492719.43</v>
      </c>
      <c r="D603">
        <v>461</v>
      </c>
      <c r="E603">
        <f>YEAR(agg_orders_daily_revenue[[#This Row],[Order_Date]])</f>
        <v>2025</v>
      </c>
      <c r="F603">
        <f>MONTH(agg_orders_daily_revenue[[#This Row],[Order_Date]])</f>
        <v>8</v>
      </c>
      <c r="G603" t="str">
        <f>TEXT(agg_orders_daily_revenue[[#This Row],[Order_Date]],"yyyy-mm")</f>
        <v>2025-08</v>
      </c>
      <c r="H603">
        <f>WEEKDAY(agg_orders_daily_revenue[[#This Row],[Order_Date]],2)</f>
        <v>7</v>
      </c>
      <c r="I603" t="str">
        <f>IF(OR(agg_orders_daily_revenue[[#This Row],[Weekday_Num]]=6, agg_orders_daily_revenue[[#This Row],[Weekday_Num]]=7), "Weekend", "Weekday")</f>
        <v>Weekend</v>
      </c>
      <c r="J603" t="str">
        <f>TEXT(agg_orders_daily_revenue[[#This Row],[Order_Date]], "ddd")</f>
        <v>Sun</v>
      </c>
    </row>
    <row r="604" spans="1:10" x14ac:dyDescent="0.4">
      <c r="A604" s="1">
        <v>45894</v>
      </c>
      <c r="B604">
        <v>540052</v>
      </c>
      <c r="C604">
        <v>500747</v>
      </c>
      <c r="D604">
        <v>451</v>
      </c>
      <c r="E604">
        <f>YEAR(agg_orders_daily_revenue[[#This Row],[Order_Date]])</f>
        <v>2025</v>
      </c>
      <c r="F604">
        <f>MONTH(agg_orders_daily_revenue[[#This Row],[Order_Date]])</f>
        <v>8</v>
      </c>
      <c r="G604" t="str">
        <f>TEXT(agg_orders_daily_revenue[[#This Row],[Order_Date]],"yyyy-mm")</f>
        <v>2025-08</v>
      </c>
      <c r="H604">
        <f>WEEKDAY(agg_orders_daily_revenue[[#This Row],[Order_Date]],2)</f>
        <v>1</v>
      </c>
      <c r="I604" t="str">
        <f>IF(OR(agg_orders_daily_revenue[[#This Row],[Weekday_Num]]=6, agg_orders_daily_revenue[[#This Row],[Weekday_Num]]=7), "Weekend", "Weekday")</f>
        <v>Weekday</v>
      </c>
      <c r="J604" t="str">
        <f>TEXT(agg_orders_daily_revenue[[#This Row],[Order_Date]], "ddd")</f>
        <v>Mon</v>
      </c>
    </row>
    <row r="605" spans="1:10" x14ac:dyDescent="0.4">
      <c r="A605" s="1">
        <v>45895</v>
      </c>
      <c r="B605">
        <v>521789</v>
      </c>
      <c r="C605">
        <v>506963.43</v>
      </c>
      <c r="D605">
        <v>420</v>
      </c>
      <c r="E605">
        <f>YEAR(agg_orders_daily_revenue[[#This Row],[Order_Date]])</f>
        <v>2025</v>
      </c>
      <c r="F605">
        <f>MONTH(agg_orders_daily_revenue[[#This Row],[Order_Date]])</f>
        <v>8</v>
      </c>
      <c r="G605" t="str">
        <f>TEXT(agg_orders_daily_revenue[[#This Row],[Order_Date]],"yyyy-mm")</f>
        <v>2025-08</v>
      </c>
      <c r="H605">
        <f>WEEKDAY(agg_orders_daily_revenue[[#This Row],[Order_Date]],2)</f>
        <v>2</v>
      </c>
      <c r="I605" t="str">
        <f>IF(OR(agg_orders_daily_revenue[[#This Row],[Weekday_Num]]=6, agg_orders_daily_revenue[[#This Row],[Weekday_Num]]=7), "Weekend", "Weekday")</f>
        <v>Weekday</v>
      </c>
      <c r="J605" t="str">
        <f>TEXT(agg_orders_daily_revenue[[#This Row],[Order_Date]], "ddd")</f>
        <v>Tue</v>
      </c>
    </row>
    <row r="606" spans="1:10" x14ac:dyDescent="0.4">
      <c r="A606" s="1">
        <v>45896</v>
      </c>
      <c r="B606">
        <v>503950</v>
      </c>
      <c r="C606">
        <v>512821.71</v>
      </c>
      <c r="D606">
        <v>401</v>
      </c>
      <c r="E606">
        <f>YEAR(agg_orders_daily_revenue[[#This Row],[Order_Date]])</f>
        <v>2025</v>
      </c>
      <c r="F606">
        <f>MONTH(agg_orders_daily_revenue[[#This Row],[Order_Date]])</f>
        <v>8</v>
      </c>
      <c r="G606" t="str">
        <f>TEXT(agg_orders_daily_revenue[[#This Row],[Order_Date]],"yyyy-mm")</f>
        <v>2025-08</v>
      </c>
      <c r="H606">
        <f>WEEKDAY(agg_orders_daily_revenue[[#This Row],[Order_Date]],2)</f>
        <v>3</v>
      </c>
      <c r="I606" t="str">
        <f>IF(OR(agg_orders_daily_revenue[[#This Row],[Weekday_Num]]=6, agg_orders_daily_revenue[[#This Row],[Weekday_Num]]=7), "Weekend", "Weekday")</f>
        <v>Weekday</v>
      </c>
      <c r="J606" t="str">
        <f>TEXT(agg_orders_daily_revenue[[#This Row],[Order_Date]], "ddd")</f>
        <v>Wed</v>
      </c>
    </row>
    <row r="607" spans="1:10" x14ac:dyDescent="0.4">
      <c r="A607" s="1">
        <v>45897</v>
      </c>
      <c r="B607">
        <v>548094</v>
      </c>
      <c r="C607">
        <v>520654</v>
      </c>
      <c r="D607">
        <v>422</v>
      </c>
      <c r="E607">
        <f>YEAR(agg_orders_daily_revenue[[#This Row],[Order_Date]])</f>
        <v>2025</v>
      </c>
      <c r="F607">
        <f>MONTH(agg_orders_daily_revenue[[#This Row],[Order_Date]])</f>
        <v>8</v>
      </c>
      <c r="G607" t="str">
        <f>TEXT(agg_orders_daily_revenue[[#This Row],[Order_Date]],"yyyy-mm")</f>
        <v>2025-08</v>
      </c>
      <c r="H607">
        <f>WEEKDAY(agg_orders_daily_revenue[[#This Row],[Order_Date]],2)</f>
        <v>4</v>
      </c>
      <c r="I607" t="str">
        <f>IF(OR(agg_orders_daily_revenue[[#This Row],[Weekday_Num]]=6, agg_orders_daily_revenue[[#This Row],[Weekday_Num]]=7), "Weekend", "Weekday")</f>
        <v>Weekday</v>
      </c>
      <c r="J607" t="str">
        <f>TEXT(agg_orders_daily_revenue[[#This Row],[Order_Date]], "ddd")</f>
        <v>Thu</v>
      </c>
    </row>
    <row r="608" spans="1:10" x14ac:dyDescent="0.4">
      <c r="A608" s="1">
        <v>45898</v>
      </c>
      <c r="B608">
        <v>476311</v>
      </c>
      <c r="C608">
        <v>523005.14</v>
      </c>
      <c r="D608">
        <v>384</v>
      </c>
      <c r="E608">
        <f>YEAR(agg_orders_daily_revenue[[#This Row],[Order_Date]])</f>
        <v>2025</v>
      </c>
      <c r="F608">
        <f>MONTH(agg_orders_daily_revenue[[#This Row],[Order_Date]])</f>
        <v>8</v>
      </c>
      <c r="G608" t="str">
        <f>TEXT(agg_orders_daily_revenue[[#This Row],[Order_Date]],"yyyy-mm")</f>
        <v>2025-08</v>
      </c>
      <c r="H608">
        <f>WEEKDAY(agg_orders_daily_revenue[[#This Row],[Order_Date]],2)</f>
        <v>5</v>
      </c>
      <c r="I608" t="str">
        <f>IF(OR(agg_orders_daily_revenue[[#This Row],[Weekday_Num]]=6, agg_orders_daily_revenue[[#This Row],[Weekday_Num]]=7), "Weekend", "Weekday")</f>
        <v>Weekday</v>
      </c>
      <c r="J608" t="str">
        <f>TEXT(agg_orders_daily_revenue[[#This Row],[Order_Date]], "ddd")</f>
        <v>Fri</v>
      </c>
    </row>
    <row r="609" spans="1:10" x14ac:dyDescent="0.4">
      <c r="A609" s="1">
        <v>45899</v>
      </c>
      <c r="B609">
        <v>495146</v>
      </c>
      <c r="C609">
        <v>521016.43</v>
      </c>
      <c r="D609">
        <v>428</v>
      </c>
      <c r="E609">
        <f>YEAR(agg_orders_daily_revenue[[#This Row],[Order_Date]])</f>
        <v>2025</v>
      </c>
      <c r="F609">
        <f>MONTH(agg_orders_daily_revenue[[#This Row],[Order_Date]])</f>
        <v>8</v>
      </c>
      <c r="G609" t="str">
        <f>TEXT(agg_orders_daily_revenue[[#This Row],[Order_Date]],"yyyy-mm")</f>
        <v>2025-08</v>
      </c>
      <c r="H609">
        <f>WEEKDAY(agg_orders_daily_revenue[[#This Row],[Order_Date]],2)</f>
        <v>6</v>
      </c>
      <c r="I609" t="str">
        <f>IF(OR(agg_orders_daily_revenue[[#This Row],[Weekday_Num]]=6, agg_orders_daily_revenue[[#This Row],[Weekday_Num]]=7), "Weekend", "Weekday")</f>
        <v>Weekend</v>
      </c>
      <c r="J609" t="str">
        <f>TEXT(agg_orders_daily_revenue[[#This Row],[Order_Date]], "ddd")</f>
        <v>Sat</v>
      </c>
    </row>
    <row r="610" spans="1:10" x14ac:dyDescent="0.4">
      <c r="A610" s="1">
        <v>45900</v>
      </c>
      <c r="B610">
        <v>484336</v>
      </c>
      <c r="C610">
        <v>509954</v>
      </c>
      <c r="D610">
        <v>380</v>
      </c>
      <c r="E610">
        <f>YEAR(agg_orders_daily_revenue[[#This Row],[Order_Date]])</f>
        <v>2025</v>
      </c>
      <c r="F610">
        <f>MONTH(agg_orders_daily_revenue[[#This Row],[Order_Date]])</f>
        <v>8</v>
      </c>
      <c r="G610" t="str">
        <f>TEXT(agg_orders_daily_revenue[[#This Row],[Order_Date]],"yyyy-mm")</f>
        <v>2025-08</v>
      </c>
      <c r="H610">
        <f>WEEKDAY(agg_orders_daily_revenue[[#This Row],[Order_Date]],2)</f>
        <v>7</v>
      </c>
      <c r="I610" t="str">
        <f>IF(OR(agg_orders_daily_revenue[[#This Row],[Weekday_Num]]=6, agg_orders_daily_revenue[[#This Row],[Weekday_Num]]=7), "Weekend", "Weekday")</f>
        <v>Weekend</v>
      </c>
      <c r="J610" t="str">
        <f>TEXT(agg_orders_daily_revenue[[#This Row],[Order_Date]], "ddd")</f>
        <v>Sun</v>
      </c>
    </row>
    <row r="611" spans="1:10" x14ac:dyDescent="0.4">
      <c r="A611" s="1">
        <v>45901</v>
      </c>
      <c r="B611">
        <v>532235</v>
      </c>
      <c r="C611">
        <v>508837.29</v>
      </c>
      <c r="D611">
        <v>424</v>
      </c>
      <c r="E611">
        <f>YEAR(agg_orders_daily_revenue[[#This Row],[Order_Date]])</f>
        <v>2025</v>
      </c>
      <c r="F611">
        <f>MONTH(agg_orders_daily_revenue[[#This Row],[Order_Date]])</f>
        <v>9</v>
      </c>
      <c r="G611" t="str">
        <f>TEXT(agg_orders_daily_revenue[[#This Row],[Order_Date]],"yyyy-mm")</f>
        <v>2025-09</v>
      </c>
      <c r="H611">
        <f>WEEKDAY(agg_orders_daily_revenue[[#This Row],[Order_Date]],2)</f>
        <v>1</v>
      </c>
      <c r="I611" t="str">
        <f>IF(OR(agg_orders_daily_revenue[[#This Row],[Weekday_Num]]=6, agg_orders_daily_revenue[[#This Row],[Weekday_Num]]=7), "Weekend", "Weekday")</f>
        <v>Weekday</v>
      </c>
      <c r="J611" t="str">
        <f>TEXT(agg_orders_daily_revenue[[#This Row],[Order_Date]], "ddd")</f>
        <v>Mon</v>
      </c>
    </row>
    <row r="612" spans="1:10" x14ac:dyDescent="0.4">
      <c r="A612" s="1">
        <v>45902</v>
      </c>
      <c r="B612">
        <v>552478</v>
      </c>
      <c r="C612">
        <v>513221.43</v>
      </c>
      <c r="D612">
        <v>430</v>
      </c>
      <c r="E612">
        <f>YEAR(agg_orders_daily_revenue[[#This Row],[Order_Date]])</f>
        <v>2025</v>
      </c>
      <c r="F612">
        <f>MONTH(agg_orders_daily_revenue[[#This Row],[Order_Date]])</f>
        <v>9</v>
      </c>
      <c r="G612" t="str">
        <f>TEXT(agg_orders_daily_revenue[[#This Row],[Order_Date]],"yyyy-mm")</f>
        <v>2025-09</v>
      </c>
      <c r="H612">
        <f>WEEKDAY(agg_orders_daily_revenue[[#This Row],[Order_Date]],2)</f>
        <v>2</v>
      </c>
      <c r="I612" t="str">
        <f>IF(OR(agg_orders_daily_revenue[[#This Row],[Weekday_Num]]=6, agg_orders_daily_revenue[[#This Row],[Weekday_Num]]=7), "Weekend", "Weekday")</f>
        <v>Weekday</v>
      </c>
      <c r="J612" t="str">
        <f>TEXT(agg_orders_daily_revenue[[#This Row],[Order_Date]], "ddd")</f>
        <v>Tue</v>
      </c>
    </row>
    <row r="613" spans="1:10" x14ac:dyDescent="0.4">
      <c r="A613" s="1">
        <v>45903</v>
      </c>
      <c r="B613">
        <v>513798</v>
      </c>
      <c r="C613">
        <v>514628.29</v>
      </c>
      <c r="D613">
        <v>418</v>
      </c>
      <c r="E613">
        <f>YEAR(agg_orders_daily_revenue[[#This Row],[Order_Date]])</f>
        <v>2025</v>
      </c>
      <c r="F613">
        <f>MONTH(agg_orders_daily_revenue[[#This Row],[Order_Date]])</f>
        <v>9</v>
      </c>
      <c r="G613" t="str">
        <f>TEXT(agg_orders_daily_revenue[[#This Row],[Order_Date]],"yyyy-mm")</f>
        <v>2025-09</v>
      </c>
      <c r="H613">
        <f>WEEKDAY(agg_orders_daily_revenue[[#This Row],[Order_Date]],2)</f>
        <v>3</v>
      </c>
      <c r="I613" t="str">
        <f>IF(OR(agg_orders_daily_revenue[[#This Row],[Weekday_Num]]=6, agg_orders_daily_revenue[[#This Row],[Weekday_Num]]=7), "Weekend", "Weekday")</f>
        <v>Weekday</v>
      </c>
      <c r="J613" t="str">
        <f>TEXT(agg_orders_daily_revenue[[#This Row],[Order_Date]], "ddd")</f>
        <v>Wed</v>
      </c>
    </row>
    <row r="614" spans="1:10" x14ac:dyDescent="0.4">
      <c r="A614" s="1">
        <v>45904</v>
      </c>
      <c r="B614">
        <v>532843</v>
      </c>
      <c r="C614">
        <v>512449.57</v>
      </c>
      <c r="D614">
        <v>410</v>
      </c>
      <c r="E614">
        <f>YEAR(agg_orders_daily_revenue[[#This Row],[Order_Date]])</f>
        <v>2025</v>
      </c>
      <c r="F614">
        <f>MONTH(agg_orders_daily_revenue[[#This Row],[Order_Date]])</f>
        <v>9</v>
      </c>
      <c r="G614" t="str">
        <f>TEXT(agg_orders_daily_revenue[[#This Row],[Order_Date]],"yyyy-mm")</f>
        <v>2025-09</v>
      </c>
      <c r="H614">
        <f>WEEKDAY(agg_orders_daily_revenue[[#This Row],[Order_Date]],2)</f>
        <v>4</v>
      </c>
      <c r="I614" t="str">
        <f>IF(OR(agg_orders_daily_revenue[[#This Row],[Weekday_Num]]=6, agg_orders_daily_revenue[[#This Row],[Weekday_Num]]=7), "Weekend", "Weekday")</f>
        <v>Weekday</v>
      </c>
      <c r="J614" t="str">
        <f>TEXT(agg_orders_daily_revenue[[#This Row],[Order_Date]], "ddd")</f>
        <v>Thu</v>
      </c>
    </row>
    <row r="615" spans="1:10" x14ac:dyDescent="0.4">
      <c r="A615" s="1">
        <v>45905</v>
      </c>
      <c r="B615">
        <v>480643</v>
      </c>
      <c r="C615">
        <v>513068.43</v>
      </c>
      <c r="D615">
        <v>390</v>
      </c>
      <c r="E615">
        <f>YEAR(agg_orders_daily_revenue[[#This Row],[Order_Date]])</f>
        <v>2025</v>
      </c>
      <c r="F615">
        <f>MONTH(agg_orders_daily_revenue[[#This Row],[Order_Date]])</f>
        <v>9</v>
      </c>
      <c r="G615" t="str">
        <f>TEXT(agg_orders_daily_revenue[[#This Row],[Order_Date]],"yyyy-mm")</f>
        <v>2025-09</v>
      </c>
      <c r="H615">
        <f>WEEKDAY(agg_orders_daily_revenue[[#This Row],[Order_Date]],2)</f>
        <v>5</v>
      </c>
      <c r="I615" t="str">
        <f>IF(OR(agg_orders_daily_revenue[[#This Row],[Weekday_Num]]=6, agg_orders_daily_revenue[[#This Row],[Weekday_Num]]=7), "Weekend", "Weekday")</f>
        <v>Weekday</v>
      </c>
      <c r="J615" t="str">
        <f>TEXT(agg_orders_daily_revenue[[#This Row],[Order_Date]], "ddd")</f>
        <v>Fri</v>
      </c>
    </row>
    <row r="616" spans="1:10" x14ac:dyDescent="0.4">
      <c r="A616" s="1">
        <v>45906</v>
      </c>
      <c r="B616">
        <v>514953</v>
      </c>
      <c r="C616">
        <v>515898</v>
      </c>
      <c r="D616">
        <v>411</v>
      </c>
      <c r="E616">
        <f>YEAR(agg_orders_daily_revenue[[#This Row],[Order_Date]])</f>
        <v>2025</v>
      </c>
      <c r="F616">
        <f>MONTH(agg_orders_daily_revenue[[#This Row],[Order_Date]])</f>
        <v>9</v>
      </c>
      <c r="G616" t="str">
        <f>TEXT(agg_orders_daily_revenue[[#This Row],[Order_Date]],"yyyy-mm")</f>
        <v>2025-09</v>
      </c>
      <c r="H616">
        <f>WEEKDAY(agg_orders_daily_revenue[[#This Row],[Order_Date]],2)</f>
        <v>6</v>
      </c>
      <c r="I616" t="str">
        <f>IF(OR(agg_orders_daily_revenue[[#This Row],[Weekday_Num]]=6, agg_orders_daily_revenue[[#This Row],[Weekday_Num]]=7), "Weekend", "Weekday")</f>
        <v>Weekend</v>
      </c>
      <c r="J616" t="str">
        <f>TEXT(agg_orders_daily_revenue[[#This Row],[Order_Date]], "ddd")</f>
        <v>Sat</v>
      </c>
    </row>
    <row r="617" spans="1:10" x14ac:dyDescent="0.4">
      <c r="A617" s="1">
        <v>45907</v>
      </c>
      <c r="B617">
        <v>483014</v>
      </c>
      <c r="C617">
        <v>515709.14</v>
      </c>
      <c r="D617">
        <v>392</v>
      </c>
      <c r="E617">
        <f>YEAR(agg_orders_daily_revenue[[#This Row],[Order_Date]])</f>
        <v>2025</v>
      </c>
      <c r="F617">
        <f>MONTH(agg_orders_daily_revenue[[#This Row],[Order_Date]])</f>
        <v>9</v>
      </c>
      <c r="G617" t="str">
        <f>TEXT(agg_orders_daily_revenue[[#This Row],[Order_Date]],"yyyy-mm")</f>
        <v>2025-09</v>
      </c>
      <c r="H617">
        <f>WEEKDAY(agg_orders_daily_revenue[[#This Row],[Order_Date]],2)</f>
        <v>7</v>
      </c>
      <c r="I617" t="str">
        <f>IF(OR(agg_orders_daily_revenue[[#This Row],[Weekday_Num]]=6, agg_orders_daily_revenue[[#This Row],[Weekday_Num]]=7), "Weekend", "Weekday")</f>
        <v>Weekend</v>
      </c>
      <c r="J617" t="str">
        <f>TEXT(agg_orders_daily_revenue[[#This Row],[Order_Date]], "ddd")</f>
        <v>Sun</v>
      </c>
    </row>
    <row r="618" spans="1:10" x14ac:dyDescent="0.4">
      <c r="A618" s="1">
        <v>45908</v>
      </c>
      <c r="B618">
        <v>470261</v>
      </c>
      <c r="C618">
        <v>506855.71</v>
      </c>
      <c r="D618">
        <v>400</v>
      </c>
      <c r="E618">
        <f>YEAR(agg_orders_daily_revenue[[#This Row],[Order_Date]])</f>
        <v>2025</v>
      </c>
      <c r="F618">
        <f>MONTH(agg_orders_daily_revenue[[#This Row],[Order_Date]])</f>
        <v>9</v>
      </c>
      <c r="G618" t="str">
        <f>TEXT(agg_orders_daily_revenue[[#This Row],[Order_Date]],"yyyy-mm")</f>
        <v>2025-09</v>
      </c>
      <c r="H618">
        <f>WEEKDAY(agg_orders_daily_revenue[[#This Row],[Order_Date]],2)</f>
        <v>1</v>
      </c>
      <c r="I618" t="str">
        <f>IF(OR(agg_orders_daily_revenue[[#This Row],[Weekday_Num]]=6, agg_orders_daily_revenue[[#This Row],[Weekday_Num]]=7), "Weekend", "Weekday")</f>
        <v>Weekday</v>
      </c>
      <c r="J618" t="str">
        <f>TEXT(agg_orders_daily_revenue[[#This Row],[Order_Date]], "ddd")</f>
        <v>Mon</v>
      </c>
    </row>
    <row r="619" spans="1:10" x14ac:dyDescent="0.4">
      <c r="A619" s="1">
        <v>45909</v>
      </c>
      <c r="B619">
        <v>472665</v>
      </c>
      <c r="C619">
        <v>495453.86</v>
      </c>
      <c r="D619">
        <v>395</v>
      </c>
      <c r="E619">
        <f>YEAR(agg_orders_daily_revenue[[#This Row],[Order_Date]])</f>
        <v>2025</v>
      </c>
      <c r="F619">
        <f>MONTH(agg_orders_daily_revenue[[#This Row],[Order_Date]])</f>
        <v>9</v>
      </c>
      <c r="G619" t="str">
        <f>TEXT(agg_orders_daily_revenue[[#This Row],[Order_Date]],"yyyy-mm")</f>
        <v>2025-09</v>
      </c>
      <c r="H619">
        <f>WEEKDAY(agg_orders_daily_revenue[[#This Row],[Order_Date]],2)</f>
        <v>2</v>
      </c>
      <c r="I619" t="str">
        <f>IF(OR(agg_orders_daily_revenue[[#This Row],[Weekday_Num]]=6, agg_orders_daily_revenue[[#This Row],[Weekday_Num]]=7), "Weekend", "Weekday")</f>
        <v>Weekday</v>
      </c>
      <c r="J619" t="str">
        <f>TEXT(agg_orders_daily_revenue[[#This Row],[Order_Date]], "ddd")</f>
        <v>Tue</v>
      </c>
    </row>
    <row r="620" spans="1:10" x14ac:dyDescent="0.4">
      <c r="A620" s="1">
        <v>45910</v>
      </c>
      <c r="B620">
        <v>552022</v>
      </c>
      <c r="C620">
        <v>500914.43</v>
      </c>
      <c r="D620">
        <v>445</v>
      </c>
      <c r="E620">
        <f>YEAR(agg_orders_daily_revenue[[#This Row],[Order_Date]])</f>
        <v>2025</v>
      </c>
      <c r="F620">
        <f>MONTH(agg_orders_daily_revenue[[#This Row],[Order_Date]])</f>
        <v>9</v>
      </c>
      <c r="G620" t="str">
        <f>TEXT(agg_orders_daily_revenue[[#This Row],[Order_Date]],"yyyy-mm")</f>
        <v>2025-09</v>
      </c>
      <c r="H620">
        <f>WEEKDAY(agg_orders_daily_revenue[[#This Row],[Order_Date]],2)</f>
        <v>3</v>
      </c>
      <c r="I620" t="str">
        <f>IF(OR(agg_orders_daily_revenue[[#This Row],[Weekday_Num]]=6, agg_orders_daily_revenue[[#This Row],[Weekday_Num]]=7), "Weekend", "Weekday")</f>
        <v>Weekday</v>
      </c>
      <c r="J620" t="str">
        <f>TEXT(agg_orders_daily_revenue[[#This Row],[Order_Date]], "ddd")</f>
        <v>Wed</v>
      </c>
    </row>
    <row r="621" spans="1:10" x14ac:dyDescent="0.4">
      <c r="A621" s="1">
        <v>45911</v>
      </c>
      <c r="B621">
        <v>528253</v>
      </c>
      <c r="C621">
        <v>500258.71</v>
      </c>
      <c r="D621">
        <v>405</v>
      </c>
      <c r="E621">
        <f>YEAR(agg_orders_daily_revenue[[#This Row],[Order_Date]])</f>
        <v>2025</v>
      </c>
      <c r="F621">
        <f>MONTH(agg_orders_daily_revenue[[#This Row],[Order_Date]])</f>
        <v>9</v>
      </c>
      <c r="G621" t="str">
        <f>TEXT(agg_orders_daily_revenue[[#This Row],[Order_Date]],"yyyy-mm")</f>
        <v>2025-09</v>
      </c>
      <c r="H621">
        <f>WEEKDAY(agg_orders_daily_revenue[[#This Row],[Order_Date]],2)</f>
        <v>4</v>
      </c>
      <c r="I621" t="str">
        <f>IF(OR(agg_orders_daily_revenue[[#This Row],[Weekday_Num]]=6, agg_orders_daily_revenue[[#This Row],[Weekday_Num]]=7), "Weekend", "Weekday")</f>
        <v>Weekday</v>
      </c>
      <c r="J621" t="str">
        <f>TEXT(agg_orders_daily_revenue[[#This Row],[Order_Date]], "ddd")</f>
        <v>Thu</v>
      </c>
    </row>
    <row r="622" spans="1:10" x14ac:dyDescent="0.4">
      <c r="A622" s="1">
        <v>45912</v>
      </c>
      <c r="B622">
        <v>516967</v>
      </c>
      <c r="C622">
        <v>505447.86</v>
      </c>
      <c r="D622">
        <v>427</v>
      </c>
      <c r="E622">
        <f>YEAR(agg_orders_daily_revenue[[#This Row],[Order_Date]])</f>
        <v>2025</v>
      </c>
      <c r="F622">
        <f>MONTH(agg_orders_daily_revenue[[#This Row],[Order_Date]])</f>
        <v>9</v>
      </c>
      <c r="G622" t="str">
        <f>TEXT(agg_orders_daily_revenue[[#This Row],[Order_Date]],"yyyy-mm")</f>
        <v>2025-09</v>
      </c>
      <c r="H622">
        <f>WEEKDAY(agg_orders_daily_revenue[[#This Row],[Order_Date]],2)</f>
        <v>5</v>
      </c>
      <c r="I622" t="str">
        <f>IF(OR(agg_orders_daily_revenue[[#This Row],[Weekday_Num]]=6, agg_orders_daily_revenue[[#This Row],[Weekday_Num]]=7), "Weekend", "Weekday")</f>
        <v>Weekday</v>
      </c>
      <c r="J622" t="str">
        <f>TEXT(agg_orders_daily_revenue[[#This Row],[Order_Date]], "ddd")</f>
        <v>Fri</v>
      </c>
    </row>
    <row r="623" spans="1:10" x14ac:dyDescent="0.4">
      <c r="A623" s="1">
        <v>45913</v>
      </c>
      <c r="B623">
        <v>470102</v>
      </c>
      <c r="C623">
        <v>499040.57</v>
      </c>
      <c r="D623">
        <v>407</v>
      </c>
      <c r="E623">
        <f>YEAR(agg_orders_daily_revenue[[#This Row],[Order_Date]])</f>
        <v>2025</v>
      </c>
      <c r="F623">
        <f>MONTH(agg_orders_daily_revenue[[#This Row],[Order_Date]])</f>
        <v>9</v>
      </c>
      <c r="G623" t="str">
        <f>TEXT(agg_orders_daily_revenue[[#This Row],[Order_Date]],"yyyy-mm")</f>
        <v>2025-09</v>
      </c>
      <c r="H623">
        <f>WEEKDAY(agg_orders_daily_revenue[[#This Row],[Order_Date]],2)</f>
        <v>6</v>
      </c>
      <c r="I623" t="str">
        <f>IF(OR(agg_orders_daily_revenue[[#This Row],[Weekday_Num]]=6, agg_orders_daily_revenue[[#This Row],[Weekday_Num]]=7), "Weekend", "Weekday")</f>
        <v>Weekend</v>
      </c>
      <c r="J623" t="str">
        <f>TEXT(agg_orders_daily_revenue[[#This Row],[Order_Date]], "ddd")</f>
        <v>Sat</v>
      </c>
    </row>
    <row r="624" spans="1:10" x14ac:dyDescent="0.4">
      <c r="A624" s="1">
        <v>45914</v>
      </c>
      <c r="B624">
        <v>516463</v>
      </c>
      <c r="C624">
        <v>503819</v>
      </c>
      <c r="D624">
        <v>435</v>
      </c>
      <c r="E624">
        <f>YEAR(agg_orders_daily_revenue[[#This Row],[Order_Date]])</f>
        <v>2025</v>
      </c>
      <c r="F624">
        <f>MONTH(agg_orders_daily_revenue[[#This Row],[Order_Date]])</f>
        <v>9</v>
      </c>
      <c r="G624" t="str">
        <f>TEXT(agg_orders_daily_revenue[[#This Row],[Order_Date]],"yyyy-mm")</f>
        <v>2025-09</v>
      </c>
      <c r="H624">
        <f>WEEKDAY(agg_orders_daily_revenue[[#This Row],[Order_Date]],2)</f>
        <v>7</v>
      </c>
      <c r="I624" t="str">
        <f>IF(OR(agg_orders_daily_revenue[[#This Row],[Weekday_Num]]=6, agg_orders_daily_revenue[[#This Row],[Weekday_Num]]=7), "Weekend", "Weekday")</f>
        <v>Weekend</v>
      </c>
      <c r="J624" t="str">
        <f>TEXT(agg_orders_daily_revenue[[#This Row],[Order_Date]], "ddd")</f>
        <v>Sun</v>
      </c>
    </row>
    <row r="625" spans="1:10" x14ac:dyDescent="0.4">
      <c r="A625" s="1">
        <v>45915</v>
      </c>
      <c r="B625">
        <v>492270</v>
      </c>
      <c r="C625">
        <v>506963.14</v>
      </c>
      <c r="D625">
        <v>409</v>
      </c>
      <c r="E625">
        <f>YEAR(agg_orders_daily_revenue[[#This Row],[Order_Date]])</f>
        <v>2025</v>
      </c>
      <c r="F625">
        <f>MONTH(agg_orders_daily_revenue[[#This Row],[Order_Date]])</f>
        <v>9</v>
      </c>
      <c r="G625" t="str">
        <f>TEXT(agg_orders_daily_revenue[[#This Row],[Order_Date]],"yyyy-mm")</f>
        <v>2025-09</v>
      </c>
      <c r="H625">
        <f>WEEKDAY(agg_orders_daily_revenue[[#This Row],[Order_Date]],2)</f>
        <v>1</v>
      </c>
      <c r="I625" t="str">
        <f>IF(OR(agg_orders_daily_revenue[[#This Row],[Weekday_Num]]=6, agg_orders_daily_revenue[[#This Row],[Weekday_Num]]=7), "Weekend", "Weekday")</f>
        <v>Weekday</v>
      </c>
      <c r="J625" t="str">
        <f>TEXT(agg_orders_daily_revenue[[#This Row],[Order_Date]], "ddd")</f>
        <v>Mon</v>
      </c>
    </row>
    <row r="626" spans="1:10" x14ac:dyDescent="0.4">
      <c r="A626" s="1">
        <v>45916</v>
      </c>
      <c r="B626">
        <v>540721</v>
      </c>
      <c r="C626">
        <v>516685.43</v>
      </c>
      <c r="D626">
        <v>432</v>
      </c>
      <c r="E626">
        <f>YEAR(agg_orders_daily_revenue[[#This Row],[Order_Date]])</f>
        <v>2025</v>
      </c>
      <c r="F626">
        <f>MONTH(agg_orders_daily_revenue[[#This Row],[Order_Date]])</f>
        <v>9</v>
      </c>
      <c r="G626" t="str">
        <f>TEXT(agg_orders_daily_revenue[[#This Row],[Order_Date]],"yyyy-mm")</f>
        <v>2025-09</v>
      </c>
      <c r="H626">
        <f>WEEKDAY(agg_orders_daily_revenue[[#This Row],[Order_Date]],2)</f>
        <v>2</v>
      </c>
      <c r="I626" t="str">
        <f>IF(OR(agg_orders_daily_revenue[[#This Row],[Weekday_Num]]=6, agg_orders_daily_revenue[[#This Row],[Weekday_Num]]=7), "Weekend", "Weekday")</f>
        <v>Weekday</v>
      </c>
      <c r="J626" t="str">
        <f>TEXT(agg_orders_daily_revenue[[#This Row],[Order_Date]], "ddd")</f>
        <v>Tue</v>
      </c>
    </row>
    <row r="627" spans="1:10" x14ac:dyDescent="0.4">
      <c r="A627" s="1">
        <v>45917</v>
      </c>
      <c r="B627">
        <v>530204</v>
      </c>
      <c r="C627">
        <v>513568.57</v>
      </c>
      <c r="D627">
        <v>433</v>
      </c>
      <c r="E627">
        <f>YEAR(agg_orders_daily_revenue[[#This Row],[Order_Date]])</f>
        <v>2025</v>
      </c>
      <c r="F627">
        <f>MONTH(agg_orders_daily_revenue[[#This Row],[Order_Date]])</f>
        <v>9</v>
      </c>
      <c r="G627" t="str">
        <f>TEXT(agg_orders_daily_revenue[[#This Row],[Order_Date]],"yyyy-mm")</f>
        <v>2025-09</v>
      </c>
      <c r="H627">
        <f>WEEKDAY(agg_orders_daily_revenue[[#This Row],[Order_Date]],2)</f>
        <v>3</v>
      </c>
      <c r="I627" t="str">
        <f>IF(OR(agg_orders_daily_revenue[[#This Row],[Weekday_Num]]=6, agg_orders_daily_revenue[[#This Row],[Weekday_Num]]=7), "Weekend", "Weekday")</f>
        <v>Weekday</v>
      </c>
      <c r="J627" t="str">
        <f>TEXT(agg_orders_daily_revenue[[#This Row],[Order_Date]], "ddd")</f>
        <v>Wed</v>
      </c>
    </row>
    <row r="628" spans="1:10" x14ac:dyDescent="0.4">
      <c r="A628" s="1">
        <v>45918</v>
      </c>
      <c r="B628">
        <v>466689</v>
      </c>
      <c r="C628">
        <v>504773.71</v>
      </c>
      <c r="D628">
        <v>375</v>
      </c>
      <c r="E628">
        <f>YEAR(agg_orders_daily_revenue[[#This Row],[Order_Date]])</f>
        <v>2025</v>
      </c>
      <c r="F628">
        <f>MONTH(agg_orders_daily_revenue[[#This Row],[Order_Date]])</f>
        <v>9</v>
      </c>
      <c r="G628" t="str">
        <f>TEXT(agg_orders_daily_revenue[[#This Row],[Order_Date]],"yyyy-mm")</f>
        <v>2025-09</v>
      </c>
      <c r="H628">
        <f>WEEKDAY(agg_orders_daily_revenue[[#This Row],[Order_Date]],2)</f>
        <v>4</v>
      </c>
      <c r="I628" t="str">
        <f>IF(OR(agg_orders_daily_revenue[[#This Row],[Weekday_Num]]=6, agg_orders_daily_revenue[[#This Row],[Weekday_Num]]=7), "Weekend", "Weekday")</f>
        <v>Weekday</v>
      </c>
      <c r="J628" t="str">
        <f>TEXT(agg_orders_daily_revenue[[#This Row],[Order_Date]], "ddd")</f>
        <v>Thu</v>
      </c>
    </row>
    <row r="629" spans="1:10" x14ac:dyDescent="0.4">
      <c r="A629" s="1">
        <v>45919</v>
      </c>
      <c r="B629">
        <v>507590</v>
      </c>
      <c r="C629">
        <v>503434.14</v>
      </c>
      <c r="D629">
        <v>415</v>
      </c>
      <c r="E629">
        <f>YEAR(agg_orders_daily_revenue[[#This Row],[Order_Date]])</f>
        <v>2025</v>
      </c>
      <c r="F629">
        <f>MONTH(agg_orders_daily_revenue[[#This Row],[Order_Date]])</f>
        <v>9</v>
      </c>
      <c r="G629" t="str">
        <f>TEXT(agg_orders_daily_revenue[[#This Row],[Order_Date]],"yyyy-mm")</f>
        <v>2025-09</v>
      </c>
      <c r="H629">
        <f>WEEKDAY(agg_orders_daily_revenue[[#This Row],[Order_Date]],2)</f>
        <v>5</v>
      </c>
      <c r="I629" t="str">
        <f>IF(OR(agg_orders_daily_revenue[[#This Row],[Weekday_Num]]=6, agg_orders_daily_revenue[[#This Row],[Weekday_Num]]=7), "Weekend", "Weekday")</f>
        <v>Weekday</v>
      </c>
      <c r="J629" t="str">
        <f>TEXT(agg_orders_daily_revenue[[#This Row],[Order_Date]], "ddd")</f>
        <v>Fri</v>
      </c>
    </row>
    <row r="630" spans="1:10" x14ac:dyDescent="0.4">
      <c r="A630" s="1">
        <v>45920</v>
      </c>
      <c r="B630">
        <v>482143</v>
      </c>
      <c r="C630">
        <v>505154.29</v>
      </c>
      <c r="D630">
        <v>398</v>
      </c>
      <c r="E630">
        <f>YEAR(agg_orders_daily_revenue[[#This Row],[Order_Date]])</f>
        <v>2025</v>
      </c>
      <c r="F630">
        <f>MONTH(agg_orders_daily_revenue[[#This Row],[Order_Date]])</f>
        <v>9</v>
      </c>
      <c r="G630" t="str">
        <f>TEXT(agg_orders_daily_revenue[[#This Row],[Order_Date]],"yyyy-mm")</f>
        <v>2025-09</v>
      </c>
      <c r="H630">
        <f>WEEKDAY(agg_orders_daily_revenue[[#This Row],[Order_Date]],2)</f>
        <v>6</v>
      </c>
      <c r="I630" t="str">
        <f>IF(OR(agg_orders_daily_revenue[[#This Row],[Weekday_Num]]=6, agg_orders_daily_revenue[[#This Row],[Weekday_Num]]=7), "Weekend", "Weekday")</f>
        <v>Weekend</v>
      </c>
      <c r="J630" t="str">
        <f>TEXT(agg_orders_daily_revenue[[#This Row],[Order_Date]], "ddd")</f>
        <v>Sat</v>
      </c>
    </row>
    <row r="631" spans="1:10" x14ac:dyDescent="0.4">
      <c r="A631" s="1">
        <v>45921</v>
      </c>
      <c r="B631">
        <v>527244</v>
      </c>
      <c r="C631">
        <v>506694.43</v>
      </c>
      <c r="D631">
        <v>414</v>
      </c>
      <c r="E631">
        <f>YEAR(agg_orders_daily_revenue[[#This Row],[Order_Date]])</f>
        <v>2025</v>
      </c>
      <c r="F631">
        <f>MONTH(agg_orders_daily_revenue[[#This Row],[Order_Date]])</f>
        <v>9</v>
      </c>
      <c r="G631" t="str">
        <f>TEXT(agg_orders_daily_revenue[[#This Row],[Order_Date]],"yyyy-mm")</f>
        <v>2025-09</v>
      </c>
      <c r="H631">
        <f>WEEKDAY(agg_orders_daily_revenue[[#This Row],[Order_Date]],2)</f>
        <v>7</v>
      </c>
      <c r="I631" t="str">
        <f>IF(OR(agg_orders_daily_revenue[[#This Row],[Weekday_Num]]=6, agg_orders_daily_revenue[[#This Row],[Weekday_Num]]=7), "Weekend", "Weekday")</f>
        <v>Weekend</v>
      </c>
      <c r="J631" t="str">
        <f>TEXT(agg_orders_daily_revenue[[#This Row],[Order_Date]], "ddd")</f>
        <v>Sun</v>
      </c>
    </row>
    <row r="632" spans="1:10" x14ac:dyDescent="0.4">
      <c r="A632" s="1">
        <v>45922</v>
      </c>
      <c r="B632">
        <v>533277</v>
      </c>
      <c r="C632">
        <v>512552.57</v>
      </c>
      <c r="D632">
        <v>423</v>
      </c>
      <c r="E632">
        <f>YEAR(agg_orders_daily_revenue[[#This Row],[Order_Date]])</f>
        <v>2025</v>
      </c>
      <c r="F632">
        <f>MONTH(agg_orders_daily_revenue[[#This Row],[Order_Date]])</f>
        <v>9</v>
      </c>
      <c r="G632" t="str">
        <f>TEXT(agg_orders_daily_revenue[[#This Row],[Order_Date]],"yyyy-mm")</f>
        <v>2025-09</v>
      </c>
      <c r="H632">
        <f>WEEKDAY(agg_orders_daily_revenue[[#This Row],[Order_Date]],2)</f>
        <v>1</v>
      </c>
      <c r="I632" t="str">
        <f>IF(OR(agg_orders_daily_revenue[[#This Row],[Weekday_Num]]=6, agg_orders_daily_revenue[[#This Row],[Weekday_Num]]=7), "Weekend", "Weekday")</f>
        <v>Weekday</v>
      </c>
      <c r="J632" t="str">
        <f>TEXT(agg_orders_daily_revenue[[#This Row],[Order_Date]], "ddd")</f>
        <v>Mon</v>
      </c>
    </row>
    <row r="633" spans="1:10" x14ac:dyDescent="0.4">
      <c r="A633" s="1">
        <v>45923</v>
      </c>
      <c r="B633">
        <v>469381</v>
      </c>
      <c r="C633">
        <v>502361.14</v>
      </c>
      <c r="D633">
        <v>379</v>
      </c>
      <c r="E633">
        <f>YEAR(agg_orders_daily_revenue[[#This Row],[Order_Date]])</f>
        <v>2025</v>
      </c>
      <c r="F633">
        <f>MONTH(agg_orders_daily_revenue[[#This Row],[Order_Date]])</f>
        <v>9</v>
      </c>
      <c r="G633" t="str">
        <f>TEXT(agg_orders_daily_revenue[[#This Row],[Order_Date]],"yyyy-mm")</f>
        <v>2025-09</v>
      </c>
      <c r="H633">
        <f>WEEKDAY(agg_orders_daily_revenue[[#This Row],[Order_Date]],2)</f>
        <v>2</v>
      </c>
      <c r="I633" t="str">
        <f>IF(OR(agg_orders_daily_revenue[[#This Row],[Weekday_Num]]=6, agg_orders_daily_revenue[[#This Row],[Weekday_Num]]=7), "Weekend", "Weekday")</f>
        <v>Weekday</v>
      </c>
      <c r="J633" t="str">
        <f>TEXT(agg_orders_daily_revenue[[#This Row],[Order_Date]], "ddd")</f>
        <v>Tue</v>
      </c>
    </row>
    <row r="634" spans="1:10" x14ac:dyDescent="0.4">
      <c r="A634" s="1">
        <v>45924</v>
      </c>
      <c r="B634">
        <v>540132</v>
      </c>
      <c r="C634">
        <v>503779.43</v>
      </c>
      <c r="D634">
        <v>436</v>
      </c>
      <c r="E634">
        <f>YEAR(agg_orders_daily_revenue[[#This Row],[Order_Date]])</f>
        <v>2025</v>
      </c>
      <c r="F634">
        <f>MONTH(agg_orders_daily_revenue[[#This Row],[Order_Date]])</f>
        <v>9</v>
      </c>
      <c r="G634" t="str">
        <f>TEXT(agg_orders_daily_revenue[[#This Row],[Order_Date]],"yyyy-mm")</f>
        <v>2025-09</v>
      </c>
      <c r="H634">
        <f>WEEKDAY(agg_orders_daily_revenue[[#This Row],[Order_Date]],2)</f>
        <v>3</v>
      </c>
      <c r="I634" t="str">
        <f>IF(OR(agg_orders_daily_revenue[[#This Row],[Weekday_Num]]=6, agg_orders_daily_revenue[[#This Row],[Weekday_Num]]=7), "Weekend", "Weekday")</f>
        <v>Weekday</v>
      </c>
      <c r="J634" t="str">
        <f>TEXT(agg_orders_daily_revenue[[#This Row],[Order_Date]], "ddd")</f>
        <v>Wed</v>
      </c>
    </row>
    <row r="635" spans="1:10" x14ac:dyDescent="0.4">
      <c r="A635" s="1">
        <v>45925</v>
      </c>
      <c r="B635">
        <v>524785</v>
      </c>
      <c r="C635">
        <v>512078.86</v>
      </c>
      <c r="D635">
        <v>422</v>
      </c>
      <c r="E635">
        <f>YEAR(agg_orders_daily_revenue[[#This Row],[Order_Date]])</f>
        <v>2025</v>
      </c>
      <c r="F635">
        <f>MONTH(agg_orders_daily_revenue[[#This Row],[Order_Date]])</f>
        <v>9</v>
      </c>
      <c r="G635" t="str">
        <f>TEXT(agg_orders_daily_revenue[[#This Row],[Order_Date]],"yyyy-mm")</f>
        <v>2025-09</v>
      </c>
      <c r="H635">
        <f>WEEKDAY(agg_orders_daily_revenue[[#This Row],[Order_Date]],2)</f>
        <v>4</v>
      </c>
      <c r="I635" t="str">
        <f>IF(OR(agg_orders_daily_revenue[[#This Row],[Weekday_Num]]=6, agg_orders_daily_revenue[[#This Row],[Weekday_Num]]=7), "Weekend", "Weekday")</f>
        <v>Weekday</v>
      </c>
      <c r="J635" t="str">
        <f>TEXT(agg_orders_daily_revenue[[#This Row],[Order_Date]], "ddd")</f>
        <v>Thu</v>
      </c>
    </row>
    <row r="636" spans="1:10" x14ac:dyDescent="0.4">
      <c r="A636" s="1">
        <v>45926</v>
      </c>
      <c r="B636">
        <v>498847</v>
      </c>
      <c r="C636">
        <v>510829.86</v>
      </c>
      <c r="D636">
        <v>409</v>
      </c>
      <c r="E636">
        <f>YEAR(agg_orders_daily_revenue[[#This Row],[Order_Date]])</f>
        <v>2025</v>
      </c>
      <c r="F636">
        <f>MONTH(agg_orders_daily_revenue[[#This Row],[Order_Date]])</f>
        <v>9</v>
      </c>
      <c r="G636" t="str">
        <f>TEXT(agg_orders_daily_revenue[[#This Row],[Order_Date]],"yyyy-mm")</f>
        <v>2025-09</v>
      </c>
      <c r="H636">
        <f>WEEKDAY(agg_orders_daily_revenue[[#This Row],[Order_Date]],2)</f>
        <v>5</v>
      </c>
      <c r="I636" t="str">
        <f>IF(OR(agg_orders_daily_revenue[[#This Row],[Weekday_Num]]=6, agg_orders_daily_revenue[[#This Row],[Weekday_Num]]=7), "Weekend", "Weekday")</f>
        <v>Weekday</v>
      </c>
      <c r="J636" t="str">
        <f>TEXT(agg_orders_daily_revenue[[#This Row],[Order_Date]], "ddd")</f>
        <v>Fri</v>
      </c>
    </row>
    <row r="637" spans="1:10" x14ac:dyDescent="0.4">
      <c r="A637" s="1">
        <v>45927</v>
      </c>
      <c r="B637">
        <v>483290</v>
      </c>
      <c r="C637">
        <v>510993.71</v>
      </c>
      <c r="D637">
        <v>382</v>
      </c>
      <c r="E637">
        <f>YEAR(agg_orders_daily_revenue[[#This Row],[Order_Date]])</f>
        <v>2025</v>
      </c>
      <c r="F637">
        <f>MONTH(agg_orders_daily_revenue[[#This Row],[Order_Date]])</f>
        <v>9</v>
      </c>
      <c r="G637" t="str">
        <f>TEXT(agg_orders_daily_revenue[[#This Row],[Order_Date]],"yyyy-mm")</f>
        <v>2025-09</v>
      </c>
      <c r="H637">
        <f>WEEKDAY(agg_orders_daily_revenue[[#This Row],[Order_Date]],2)</f>
        <v>6</v>
      </c>
      <c r="I637" t="str">
        <f>IF(OR(agg_orders_daily_revenue[[#This Row],[Weekday_Num]]=6, agg_orders_daily_revenue[[#This Row],[Weekday_Num]]=7), "Weekend", "Weekday")</f>
        <v>Weekend</v>
      </c>
      <c r="J637" t="str">
        <f>TEXT(agg_orders_daily_revenue[[#This Row],[Order_Date]], "ddd")</f>
        <v>Sat</v>
      </c>
    </row>
    <row r="638" spans="1:10" x14ac:dyDescent="0.4">
      <c r="A638" s="1">
        <v>45928</v>
      </c>
      <c r="B638">
        <v>525571</v>
      </c>
      <c r="C638">
        <v>510754.71</v>
      </c>
      <c r="D638">
        <v>428</v>
      </c>
      <c r="E638">
        <f>YEAR(agg_orders_daily_revenue[[#This Row],[Order_Date]])</f>
        <v>2025</v>
      </c>
      <c r="F638">
        <f>MONTH(agg_orders_daily_revenue[[#This Row],[Order_Date]])</f>
        <v>9</v>
      </c>
      <c r="G638" t="str">
        <f>TEXT(agg_orders_daily_revenue[[#This Row],[Order_Date]],"yyyy-mm")</f>
        <v>2025-09</v>
      </c>
      <c r="H638">
        <f>WEEKDAY(agg_orders_daily_revenue[[#This Row],[Order_Date]],2)</f>
        <v>7</v>
      </c>
      <c r="I638" t="str">
        <f>IF(OR(agg_orders_daily_revenue[[#This Row],[Weekday_Num]]=6, agg_orders_daily_revenue[[#This Row],[Weekday_Num]]=7), "Weekend", "Weekday")</f>
        <v>Weekend</v>
      </c>
      <c r="J638" t="str">
        <f>TEXT(agg_orders_daily_revenue[[#This Row],[Order_Date]], "ddd")</f>
        <v>Sun</v>
      </c>
    </row>
    <row r="639" spans="1:10" x14ac:dyDescent="0.4">
      <c r="A639" s="1">
        <v>45929</v>
      </c>
      <c r="B639">
        <v>474177</v>
      </c>
      <c r="C639">
        <v>502311.86</v>
      </c>
      <c r="D639">
        <v>389</v>
      </c>
      <c r="E639">
        <f>YEAR(agg_orders_daily_revenue[[#This Row],[Order_Date]])</f>
        <v>2025</v>
      </c>
      <c r="F639">
        <f>MONTH(agg_orders_daily_revenue[[#This Row],[Order_Date]])</f>
        <v>9</v>
      </c>
      <c r="G639" t="str">
        <f>TEXT(agg_orders_daily_revenue[[#This Row],[Order_Date]],"yyyy-mm")</f>
        <v>2025-09</v>
      </c>
      <c r="H639">
        <f>WEEKDAY(agg_orders_daily_revenue[[#This Row],[Order_Date]],2)</f>
        <v>1</v>
      </c>
      <c r="I639" t="str">
        <f>IF(OR(agg_orders_daily_revenue[[#This Row],[Weekday_Num]]=6, agg_orders_daily_revenue[[#This Row],[Weekday_Num]]=7), "Weekend", "Weekday")</f>
        <v>Weekday</v>
      </c>
      <c r="J639" t="str">
        <f>TEXT(agg_orders_daily_revenue[[#This Row],[Order_Date]], "ddd")</f>
        <v>Mon</v>
      </c>
    </row>
    <row r="640" spans="1:10" x14ac:dyDescent="0.4">
      <c r="A640" s="1">
        <v>45930</v>
      </c>
      <c r="B640">
        <v>541195</v>
      </c>
      <c r="C640">
        <v>512571</v>
      </c>
      <c r="D640">
        <v>431</v>
      </c>
      <c r="E640">
        <f>YEAR(agg_orders_daily_revenue[[#This Row],[Order_Date]])</f>
        <v>2025</v>
      </c>
      <c r="F640">
        <f>MONTH(agg_orders_daily_revenue[[#This Row],[Order_Date]])</f>
        <v>9</v>
      </c>
      <c r="G640" t="str">
        <f>TEXT(agg_orders_daily_revenue[[#This Row],[Order_Date]],"yyyy-mm")</f>
        <v>2025-09</v>
      </c>
      <c r="H640">
        <f>WEEKDAY(agg_orders_daily_revenue[[#This Row],[Order_Date]],2)</f>
        <v>2</v>
      </c>
      <c r="I640" t="str">
        <f>IF(OR(agg_orders_daily_revenue[[#This Row],[Weekday_Num]]=6, agg_orders_daily_revenue[[#This Row],[Weekday_Num]]=7), "Weekend", "Weekday")</f>
        <v>Weekday</v>
      </c>
      <c r="J640" t="str">
        <f>TEXT(agg_orders_daily_revenue[[#This Row],[Order_Date]], "ddd")</f>
        <v>Tue</v>
      </c>
    </row>
    <row r="641" spans="1:10" x14ac:dyDescent="0.4">
      <c r="A641" s="1">
        <v>45931</v>
      </c>
      <c r="B641">
        <v>561751</v>
      </c>
      <c r="C641">
        <v>515659.43</v>
      </c>
      <c r="D641">
        <v>434</v>
      </c>
      <c r="E641">
        <f>YEAR(agg_orders_daily_revenue[[#This Row],[Order_Date]])</f>
        <v>2025</v>
      </c>
      <c r="F641">
        <f>MONTH(agg_orders_daily_revenue[[#This Row],[Order_Date]])</f>
        <v>10</v>
      </c>
      <c r="G641" t="str">
        <f>TEXT(agg_orders_daily_revenue[[#This Row],[Order_Date]],"yyyy-mm")</f>
        <v>2025-10</v>
      </c>
      <c r="H641">
        <f>WEEKDAY(agg_orders_daily_revenue[[#This Row],[Order_Date]],2)</f>
        <v>3</v>
      </c>
      <c r="I641" t="str">
        <f>IF(OR(agg_orders_daily_revenue[[#This Row],[Weekday_Num]]=6, agg_orders_daily_revenue[[#This Row],[Weekday_Num]]=7), "Weekend", "Weekday")</f>
        <v>Weekday</v>
      </c>
      <c r="J641" t="str">
        <f>TEXT(agg_orders_daily_revenue[[#This Row],[Order_Date]], "ddd")</f>
        <v>Wed</v>
      </c>
    </row>
    <row r="642" spans="1:10" x14ac:dyDescent="0.4">
      <c r="A642" s="1">
        <v>45932</v>
      </c>
      <c r="B642">
        <v>489120</v>
      </c>
      <c r="C642">
        <v>510564.43</v>
      </c>
      <c r="D642">
        <v>420</v>
      </c>
      <c r="E642">
        <f>YEAR(agg_orders_daily_revenue[[#This Row],[Order_Date]])</f>
        <v>2025</v>
      </c>
      <c r="F642">
        <f>MONTH(agg_orders_daily_revenue[[#This Row],[Order_Date]])</f>
        <v>10</v>
      </c>
      <c r="G642" t="str">
        <f>TEXT(agg_orders_daily_revenue[[#This Row],[Order_Date]],"yyyy-mm")</f>
        <v>2025-10</v>
      </c>
      <c r="H642">
        <f>WEEKDAY(agg_orders_daily_revenue[[#This Row],[Order_Date]],2)</f>
        <v>4</v>
      </c>
      <c r="I642" t="str">
        <f>IF(OR(agg_orders_daily_revenue[[#This Row],[Weekday_Num]]=6, agg_orders_daily_revenue[[#This Row],[Weekday_Num]]=7), "Weekend", "Weekday")</f>
        <v>Weekday</v>
      </c>
      <c r="J642" t="str">
        <f>TEXT(agg_orders_daily_revenue[[#This Row],[Order_Date]], "ddd")</f>
        <v>Thu</v>
      </c>
    </row>
    <row r="643" spans="1:10" x14ac:dyDescent="0.4">
      <c r="A643" s="1">
        <v>45933</v>
      </c>
      <c r="B643">
        <v>517405</v>
      </c>
      <c r="C643">
        <v>513215.57</v>
      </c>
      <c r="D643">
        <v>420</v>
      </c>
      <c r="E643">
        <f>YEAR(agg_orders_daily_revenue[[#This Row],[Order_Date]])</f>
        <v>2025</v>
      </c>
      <c r="F643">
        <f>MONTH(agg_orders_daily_revenue[[#This Row],[Order_Date]])</f>
        <v>10</v>
      </c>
      <c r="G643" t="str">
        <f>TEXT(agg_orders_daily_revenue[[#This Row],[Order_Date]],"yyyy-mm")</f>
        <v>2025-10</v>
      </c>
      <c r="H643">
        <f>WEEKDAY(agg_orders_daily_revenue[[#This Row],[Order_Date]],2)</f>
        <v>5</v>
      </c>
      <c r="I643" t="str">
        <f>IF(OR(agg_orders_daily_revenue[[#This Row],[Weekday_Num]]=6, agg_orders_daily_revenue[[#This Row],[Weekday_Num]]=7), "Weekend", "Weekday")</f>
        <v>Weekday</v>
      </c>
      <c r="J643" t="str">
        <f>TEXT(agg_orders_daily_revenue[[#This Row],[Order_Date]], "ddd")</f>
        <v>Fri</v>
      </c>
    </row>
    <row r="644" spans="1:10" x14ac:dyDescent="0.4">
      <c r="A644" s="1">
        <v>45934</v>
      </c>
      <c r="B644">
        <v>492918</v>
      </c>
      <c r="C644">
        <v>514591</v>
      </c>
      <c r="D644">
        <v>417</v>
      </c>
      <c r="E644">
        <f>YEAR(agg_orders_daily_revenue[[#This Row],[Order_Date]])</f>
        <v>2025</v>
      </c>
      <c r="F644">
        <f>MONTH(agg_orders_daily_revenue[[#This Row],[Order_Date]])</f>
        <v>10</v>
      </c>
      <c r="G644" t="str">
        <f>TEXT(agg_orders_daily_revenue[[#This Row],[Order_Date]],"yyyy-mm")</f>
        <v>2025-10</v>
      </c>
      <c r="H644">
        <f>WEEKDAY(agg_orders_daily_revenue[[#This Row],[Order_Date]],2)</f>
        <v>6</v>
      </c>
      <c r="I644" t="str">
        <f>IF(OR(agg_orders_daily_revenue[[#This Row],[Weekday_Num]]=6, agg_orders_daily_revenue[[#This Row],[Weekday_Num]]=7), "Weekend", "Weekday")</f>
        <v>Weekend</v>
      </c>
      <c r="J644" t="str">
        <f>TEXT(agg_orders_daily_revenue[[#This Row],[Order_Date]], "ddd")</f>
        <v>Sat</v>
      </c>
    </row>
    <row r="645" spans="1:10" x14ac:dyDescent="0.4">
      <c r="A645" s="1">
        <v>45935</v>
      </c>
      <c r="B645">
        <v>527455</v>
      </c>
      <c r="C645">
        <v>514860.14</v>
      </c>
      <c r="D645">
        <v>401</v>
      </c>
      <c r="E645">
        <f>YEAR(agg_orders_daily_revenue[[#This Row],[Order_Date]])</f>
        <v>2025</v>
      </c>
      <c r="F645">
        <f>MONTH(agg_orders_daily_revenue[[#This Row],[Order_Date]])</f>
        <v>10</v>
      </c>
      <c r="G645" t="str">
        <f>TEXT(agg_orders_daily_revenue[[#This Row],[Order_Date]],"yyyy-mm")</f>
        <v>2025-10</v>
      </c>
      <c r="H645">
        <f>WEEKDAY(agg_orders_daily_revenue[[#This Row],[Order_Date]],2)</f>
        <v>7</v>
      </c>
      <c r="I645" t="str">
        <f>IF(OR(agg_orders_daily_revenue[[#This Row],[Weekday_Num]]=6, agg_orders_daily_revenue[[#This Row],[Weekday_Num]]=7), "Weekend", "Weekday")</f>
        <v>Weekend</v>
      </c>
      <c r="J645" t="str">
        <f>TEXT(agg_orders_daily_revenue[[#This Row],[Order_Date]], "ddd")</f>
        <v>Sun</v>
      </c>
    </row>
    <row r="646" spans="1:10" x14ac:dyDescent="0.4">
      <c r="A646" s="1">
        <v>45936</v>
      </c>
      <c r="B646">
        <v>556845</v>
      </c>
      <c r="C646">
        <v>526669.86</v>
      </c>
      <c r="D646">
        <v>436</v>
      </c>
      <c r="E646">
        <f>YEAR(agg_orders_daily_revenue[[#This Row],[Order_Date]])</f>
        <v>2025</v>
      </c>
      <c r="F646">
        <f>MONTH(agg_orders_daily_revenue[[#This Row],[Order_Date]])</f>
        <v>10</v>
      </c>
      <c r="G646" t="str">
        <f>TEXT(agg_orders_daily_revenue[[#This Row],[Order_Date]],"yyyy-mm")</f>
        <v>2025-10</v>
      </c>
      <c r="H646">
        <f>WEEKDAY(agg_orders_daily_revenue[[#This Row],[Order_Date]],2)</f>
        <v>1</v>
      </c>
      <c r="I646" t="str">
        <f>IF(OR(agg_orders_daily_revenue[[#This Row],[Weekday_Num]]=6, agg_orders_daily_revenue[[#This Row],[Weekday_Num]]=7), "Weekend", "Weekday")</f>
        <v>Weekday</v>
      </c>
      <c r="J646" t="str">
        <f>TEXT(agg_orders_daily_revenue[[#This Row],[Order_Date]], "ddd")</f>
        <v>Mon</v>
      </c>
    </row>
    <row r="647" spans="1:10" x14ac:dyDescent="0.4">
      <c r="A647" s="1">
        <v>45937</v>
      </c>
      <c r="B647">
        <v>499467</v>
      </c>
      <c r="C647">
        <v>520708.71</v>
      </c>
      <c r="D647">
        <v>406</v>
      </c>
      <c r="E647">
        <f>YEAR(agg_orders_daily_revenue[[#This Row],[Order_Date]])</f>
        <v>2025</v>
      </c>
      <c r="F647">
        <f>MONTH(agg_orders_daily_revenue[[#This Row],[Order_Date]])</f>
        <v>10</v>
      </c>
      <c r="G647" t="str">
        <f>TEXT(agg_orders_daily_revenue[[#This Row],[Order_Date]],"yyyy-mm")</f>
        <v>2025-10</v>
      </c>
      <c r="H647">
        <f>WEEKDAY(agg_orders_daily_revenue[[#This Row],[Order_Date]],2)</f>
        <v>2</v>
      </c>
      <c r="I647" t="str">
        <f>IF(OR(agg_orders_daily_revenue[[#This Row],[Weekday_Num]]=6, agg_orders_daily_revenue[[#This Row],[Weekday_Num]]=7), "Weekend", "Weekday")</f>
        <v>Weekday</v>
      </c>
      <c r="J647" t="str">
        <f>TEXT(agg_orders_daily_revenue[[#This Row],[Order_Date]], "ddd")</f>
        <v>Tue</v>
      </c>
    </row>
    <row r="648" spans="1:10" x14ac:dyDescent="0.4">
      <c r="A648" s="1">
        <v>45938</v>
      </c>
      <c r="B648">
        <v>489565</v>
      </c>
      <c r="C648">
        <v>510396.43</v>
      </c>
      <c r="D648">
        <v>405</v>
      </c>
      <c r="E648">
        <f>YEAR(agg_orders_daily_revenue[[#This Row],[Order_Date]])</f>
        <v>2025</v>
      </c>
      <c r="F648">
        <f>MONTH(agg_orders_daily_revenue[[#This Row],[Order_Date]])</f>
        <v>10</v>
      </c>
      <c r="G648" t="str">
        <f>TEXT(agg_orders_daily_revenue[[#This Row],[Order_Date]],"yyyy-mm")</f>
        <v>2025-10</v>
      </c>
      <c r="H648">
        <f>WEEKDAY(agg_orders_daily_revenue[[#This Row],[Order_Date]],2)</f>
        <v>3</v>
      </c>
      <c r="I648" t="str">
        <f>IF(OR(agg_orders_daily_revenue[[#This Row],[Weekday_Num]]=6, agg_orders_daily_revenue[[#This Row],[Weekday_Num]]=7), "Weekend", "Weekday")</f>
        <v>Weekday</v>
      </c>
      <c r="J648" t="str">
        <f>TEXT(agg_orders_daily_revenue[[#This Row],[Order_Date]], "ddd")</f>
        <v>Wed</v>
      </c>
    </row>
    <row r="649" spans="1:10" x14ac:dyDescent="0.4">
      <c r="A649" s="1">
        <v>45939</v>
      </c>
      <c r="B649">
        <v>546491</v>
      </c>
      <c r="C649">
        <v>518592.29</v>
      </c>
      <c r="D649">
        <v>423</v>
      </c>
      <c r="E649">
        <f>YEAR(agg_orders_daily_revenue[[#This Row],[Order_Date]])</f>
        <v>2025</v>
      </c>
      <c r="F649">
        <f>MONTH(agg_orders_daily_revenue[[#This Row],[Order_Date]])</f>
        <v>10</v>
      </c>
      <c r="G649" t="str">
        <f>TEXT(agg_orders_daily_revenue[[#This Row],[Order_Date]],"yyyy-mm")</f>
        <v>2025-10</v>
      </c>
      <c r="H649">
        <f>WEEKDAY(agg_orders_daily_revenue[[#This Row],[Order_Date]],2)</f>
        <v>4</v>
      </c>
      <c r="I649" t="str">
        <f>IF(OR(agg_orders_daily_revenue[[#This Row],[Weekday_Num]]=6, agg_orders_daily_revenue[[#This Row],[Weekday_Num]]=7), "Weekend", "Weekday")</f>
        <v>Weekday</v>
      </c>
      <c r="J649" t="str">
        <f>TEXT(agg_orders_daily_revenue[[#This Row],[Order_Date]], "ddd")</f>
        <v>Thu</v>
      </c>
    </row>
    <row r="650" spans="1:10" x14ac:dyDescent="0.4">
      <c r="A650" s="1">
        <v>45940</v>
      </c>
      <c r="B650">
        <v>557458</v>
      </c>
      <c r="C650">
        <v>524314.14</v>
      </c>
      <c r="D650">
        <v>452</v>
      </c>
      <c r="E650">
        <f>YEAR(agg_orders_daily_revenue[[#This Row],[Order_Date]])</f>
        <v>2025</v>
      </c>
      <c r="F650">
        <f>MONTH(agg_orders_daily_revenue[[#This Row],[Order_Date]])</f>
        <v>10</v>
      </c>
      <c r="G650" t="str">
        <f>TEXT(agg_orders_daily_revenue[[#This Row],[Order_Date]],"yyyy-mm")</f>
        <v>2025-10</v>
      </c>
      <c r="H650">
        <f>WEEKDAY(agg_orders_daily_revenue[[#This Row],[Order_Date]],2)</f>
        <v>5</v>
      </c>
      <c r="I650" t="str">
        <f>IF(OR(agg_orders_daily_revenue[[#This Row],[Weekday_Num]]=6, agg_orders_daily_revenue[[#This Row],[Weekday_Num]]=7), "Weekend", "Weekday")</f>
        <v>Weekday</v>
      </c>
      <c r="J650" t="str">
        <f>TEXT(agg_orders_daily_revenue[[#This Row],[Order_Date]], "ddd")</f>
        <v>Fri</v>
      </c>
    </row>
    <row r="651" spans="1:10" x14ac:dyDescent="0.4">
      <c r="A651" s="1">
        <v>45941</v>
      </c>
      <c r="B651">
        <v>492391</v>
      </c>
      <c r="C651">
        <v>524238.86</v>
      </c>
      <c r="D651">
        <v>390</v>
      </c>
      <c r="E651">
        <f>YEAR(agg_orders_daily_revenue[[#This Row],[Order_Date]])</f>
        <v>2025</v>
      </c>
      <c r="F651">
        <f>MONTH(agg_orders_daily_revenue[[#This Row],[Order_Date]])</f>
        <v>10</v>
      </c>
      <c r="G651" t="str">
        <f>TEXT(agg_orders_daily_revenue[[#This Row],[Order_Date]],"yyyy-mm")</f>
        <v>2025-10</v>
      </c>
      <c r="H651">
        <f>WEEKDAY(agg_orders_daily_revenue[[#This Row],[Order_Date]],2)</f>
        <v>6</v>
      </c>
      <c r="I651" t="str">
        <f>IF(OR(agg_orders_daily_revenue[[#This Row],[Weekday_Num]]=6, agg_orders_daily_revenue[[#This Row],[Weekday_Num]]=7), "Weekend", "Weekday")</f>
        <v>Weekend</v>
      </c>
      <c r="J651" t="str">
        <f>TEXT(agg_orders_daily_revenue[[#This Row],[Order_Date]], "ddd")</f>
        <v>Sat</v>
      </c>
    </row>
    <row r="652" spans="1:10" x14ac:dyDescent="0.4">
      <c r="A652" s="1">
        <v>45942</v>
      </c>
      <c r="B652">
        <v>488544</v>
      </c>
      <c r="C652">
        <v>518680.14</v>
      </c>
      <c r="D652">
        <v>405</v>
      </c>
      <c r="E652">
        <f>YEAR(agg_orders_daily_revenue[[#This Row],[Order_Date]])</f>
        <v>2025</v>
      </c>
      <c r="F652">
        <f>MONTH(agg_orders_daily_revenue[[#This Row],[Order_Date]])</f>
        <v>10</v>
      </c>
      <c r="G652" t="str">
        <f>TEXT(agg_orders_daily_revenue[[#This Row],[Order_Date]],"yyyy-mm")</f>
        <v>2025-10</v>
      </c>
      <c r="H652">
        <f>WEEKDAY(agg_orders_daily_revenue[[#This Row],[Order_Date]],2)</f>
        <v>7</v>
      </c>
      <c r="I652" t="str">
        <f>IF(OR(agg_orders_daily_revenue[[#This Row],[Weekday_Num]]=6, agg_orders_daily_revenue[[#This Row],[Weekday_Num]]=7), "Weekend", "Weekday")</f>
        <v>Weekend</v>
      </c>
      <c r="J652" t="str">
        <f>TEXT(agg_orders_daily_revenue[[#This Row],[Order_Date]], "ddd")</f>
        <v>Sun</v>
      </c>
    </row>
    <row r="653" spans="1:10" x14ac:dyDescent="0.4">
      <c r="A653" s="1">
        <v>45943</v>
      </c>
      <c r="B653">
        <v>537071</v>
      </c>
      <c r="C653">
        <v>515855.29</v>
      </c>
      <c r="D653">
        <v>423</v>
      </c>
      <c r="E653">
        <f>YEAR(agg_orders_daily_revenue[[#This Row],[Order_Date]])</f>
        <v>2025</v>
      </c>
      <c r="F653">
        <f>MONTH(agg_orders_daily_revenue[[#This Row],[Order_Date]])</f>
        <v>10</v>
      </c>
      <c r="G653" t="str">
        <f>TEXT(agg_orders_daily_revenue[[#This Row],[Order_Date]],"yyyy-mm")</f>
        <v>2025-10</v>
      </c>
      <c r="H653">
        <f>WEEKDAY(agg_orders_daily_revenue[[#This Row],[Order_Date]],2)</f>
        <v>1</v>
      </c>
      <c r="I653" t="str">
        <f>IF(OR(agg_orders_daily_revenue[[#This Row],[Weekday_Num]]=6, agg_orders_daily_revenue[[#This Row],[Weekday_Num]]=7), "Weekend", "Weekday")</f>
        <v>Weekday</v>
      </c>
      <c r="J653" t="str">
        <f>TEXT(agg_orders_daily_revenue[[#This Row],[Order_Date]], "ddd")</f>
        <v>Mon</v>
      </c>
    </row>
    <row r="654" spans="1:10" x14ac:dyDescent="0.4">
      <c r="A654" s="1">
        <v>45944</v>
      </c>
      <c r="B654">
        <v>451360</v>
      </c>
      <c r="C654">
        <v>508982.86</v>
      </c>
      <c r="D654">
        <v>370</v>
      </c>
      <c r="E654">
        <f>YEAR(agg_orders_daily_revenue[[#This Row],[Order_Date]])</f>
        <v>2025</v>
      </c>
      <c r="F654">
        <f>MONTH(agg_orders_daily_revenue[[#This Row],[Order_Date]])</f>
        <v>10</v>
      </c>
      <c r="G654" t="str">
        <f>TEXT(agg_orders_daily_revenue[[#This Row],[Order_Date]],"yyyy-mm")</f>
        <v>2025-10</v>
      </c>
      <c r="H654">
        <f>WEEKDAY(agg_orders_daily_revenue[[#This Row],[Order_Date]],2)</f>
        <v>2</v>
      </c>
      <c r="I654" t="str">
        <f>IF(OR(agg_orders_daily_revenue[[#This Row],[Weekday_Num]]=6, agg_orders_daily_revenue[[#This Row],[Weekday_Num]]=7), "Weekend", "Weekday")</f>
        <v>Weekday</v>
      </c>
      <c r="J654" t="str">
        <f>TEXT(agg_orders_daily_revenue[[#This Row],[Order_Date]], "ddd")</f>
        <v>Tue</v>
      </c>
    </row>
    <row r="655" spans="1:10" x14ac:dyDescent="0.4">
      <c r="A655" s="1">
        <v>45945</v>
      </c>
      <c r="B655">
        <v>543187</v>
      </c>
      <c r="C655">
        <v>516643.14</v>
      </c>
      <c r="D655">
        <v>435</v>
      </c>
      <c r="E655">
        <f>YEAR(agg_orders_daily_revenue[[#This Row],[Order_Date]])</f>
        <v>2025</v>
      </c>
      <c r="F655">
        <f>MONTH(agg_orders_daily_revenue[[#This Row],[Order_Date]])</f>
        <v>10</v>
      </c>
      <c r="G655" t="str">
        <f>TEXT(agg_orders_daily_revenue[[#This Row],[Order_Date]],"yyyy-mm")</f>
        <v>2025-10</v>
      </c>
      <c r="H655">
        <f>WEEKDAY(agg_orders_daily_revenue[[#This Row],[Order_Date]],2)</f>
        <v>3</v>
      </c>
      <c r="I655" t="str">
        <f>IF(OR(agg_orders_daily_revenue[[#This Row],[Weekday_Num]]=6, agg_orders_daily_revenue[[#This Row],[Weekday_Num]]=7), "Weekend", "Weekday")</f>
        <v>Weekday</v>
      </c>
      <c r="J655" t="str">
        <f>TEXT(agg_orders_daily_revenue[[#This Row],[Order_Date]], "ddd")</f>
        <v>Wed</v>
      </c>
    </row>
    <row r="656" spans="1:10" x14ac:dyDescent="0.4">
      <c r="A656" s="1">
        <v>45946</v>
      </c>
      <c r="B656">
        <v>534297</v>
      </c>
      <c r="C656">
        <v>514901.14</v>
      </c>
      <c r="D656">
        <v>445</v>
      </c>
      <c r="E656">
        <f>YEAR(agg_orders_daily_revenue[[#This Row],[Order_Date]])</f>
        <v>2025</v>
      </c>
      <c r="F656">
        <f>MONTH(agg_orders_daily_revenue[[#This Row],[Order_Date]])</f>
        <v>10</v>
      </c>
      <c r="G656" t="str">
        <f>TEXT(agg_orders_daily_revenue[[#This Row],[Order_Date]],"yyyy-mm")</f>
        <v>2025-10</v>
      </c>
      <c r="H656">
        <f>WEEKDAY(agg_orders_daily_revenue[[#This Row],[Order_Date]],2)</f>
        <v>4</v>
      </c>
      <c r="I656" t="str">
        <f>IF(OR(agg_orders_daily_revenue[[#This Row],[Weekday_Num]]=6, agg_orders_daily_revenue[[#This Row],[Weekday_Num]]=7), "Weekend", "Weekday")</f>
        <v>Weekday</v>
      </c>
      <c r="J656" t="str">
        <f>TEXT(agg_orders_daily_revenue[[#This Row],[Order_Date]], "ddd")</f>
        <v>Thu</v>
      </c>
    </row>
    <row r="657" spans="1:10" x14ac:dyDescent="0.4">
      <c r="A657" s="1">
        <v>45947</v>
      </c>
      <c r="B657">
        <v>517048</v>
      </c>
      <c r="C657">
        <v>509128.29</v>
      </c>
      <c r="D657">
        <v>407</v>
      </c>
      <c r="E657">
        <f>YEAR(agg_orders_daily_revenue[[#This Row],[Order_Date]])</f>
        <v>2025</v>
      </c>
      <c r="F657">
        <f>MONTH(agg_orders_daily_revenue[[#This Row],[Order_Date]])</f>
        <v>10</v>
      </c>
      <c r="G657" t="str">
        <f>TEXT(agg_orders_daily_revenue[[#This Row],[Order_Date]],"yyyy-mm")</f>
        <v>2025-10</v>
      </c>
      <c r="H657">
        <f>WEEKDAY(agg_orders_daily_revenue[[#This Row],[Order_Date]],2)</f>
        <v>5</v>
      </c>
      <c r="I657" t="str">
        <f>IF(OR(agg_orders_daily_revenue[[#This Row],[Weekday_Num]]=6, agg_orders_daily_revenue[[#This Row],[Weekday_Num]]=7), "Weekend", "Weekday")</f>
        <v>Weekday</v>
      </c>
      <c r="J657" t="str">
        <f>TEXT(agg_orders_daily_revenue[[#This Row],[Order_Date]], "ddd")</f>
        <v>Fri</v>
      </c>
    </row>
    <row r="658" spans="1:10" x14ac:dyDescent="0.4">
      <c r="A658" s="1">
        <v>45948</v>
      </c>
      <c r="B658">
        <v>487059</v>
      </c>
      <c r="C658">
        <v>508366.57</v>
      </c>
      <c r="D658">
        <v>395</v>
      </c>
      <c r="E658">
        <f>YEAR(agg_orders_daily_revenue[[#This Row],[Order_Date]])</f>
        <v>2025</v>
      </c>
      <c r="F658">
        <f>MONTH(agg_orders_daily_revenue[[#This Row],[Order_Date]])</f>
        <v>10</v>
      </c>
      <c r="G658" t="str">
        <f>TEXT(agg_orders_daily_revenue[[#This Row],[Order_Date]],"yyyy-mm")</f>
        <v>2025-10</v>
      </c>
      <c r="H658">
        <f>WEEKDAY(agg_orders_daily_revenue[[#This Row],[Order_Date]],2)</f>
        <v>6</v>
      </c>
      <c r="I658" t="str">
        <f>IF(OR(agg_orders_daily_revenue[[#This Row],[Weekday_Num]]=6, agg_orders_daily_revenue[[#This Row],[Weekday_Num]]=7), "Weekend", "Weekday")</f>
        <v>Weekend</v>
      </c>
      <c r="J658" t="str">
        <f>TEXT(agg_orders_daily_revenue[[#This Row],[Order_Date]], "ddd")</f>
        <v>Sat</v>
      </c>
    </row>
    <row r="659" spans="1:10" x14ac:dyDescent="0.4">
      <c r="A659" s="1">
        <v>45949</v>
      </c>
      <c r="B659">
        <v>459828</v>
      </c>
      <c r="C659">
        <v>504264.29</v>
      </c>
      <c r="D659">
        <v>386</v>
      </c>
      <c r="E659">
        <f>YEAR(agg_orders_daily_revenue[[#This Row],[Order_Date]])</f>
        <v>2025</v>
      </c>
      <c r="F659">
        <f>MONTH(agg_orders_daily_revenue[[#This Row],[Order_Date]])</f>
        <v>10</v>
      </c>
      <c r="G659" t="str">
        <f>TEXT(agg_orders_daily_revenue[[#This Row],[Order_Date]],"yyyy-mm")</f>
        <v>2025-10</v>
      </c>
      <c r="H659">
        <f>WEEKDAY(agg_orders_daily_revenue[[#This Row],[Order_Date]],2)</f>
        <v>7</v>
      </c>
      <c r="I659" t="str">
        <f>IF(OR(agg_orders_daily_revenue[[#This Row],[Weekday_Num]]=6, agg_orders_daily_revenue[[#This Row],[Weekday_Num]]=7), "Weekend", "Weekday")</f>
        <v>Weekend</v>
      </c>
      <c r="J659" t="str">
        <f>TEXT(agg_orders_daily_revenue[[#This Row],[Order_Date]], "ddd")</f>
        <v>Sun</v>
      </c>
    </row>
    <row r="660" spans="1:10" x14ac:dyDescent="0.4">
      <c r="A660" s="1">
        <v>45950</v>
      </c>
      <c r="B660">
        <v>524523</v>
      </c>
      <c r="C660">
        <v>502471.71</v>
      </c>
      <c r="D660">
        <v>411</v>
      </c>
      <c r="E660">
        <f>YEAR(agg_orders_daily_revenue[[#This Row],[Order_Date]])</f>
        <v>2025</v>
      </c>
      <c r="F660">
        <f>MONTH(agg_orders_daily_revenue[[#This Row],[Order_Date]])</f>
        <v>10</v>
      </c>
      <c r="G660" t="str">
        <f>TEXT(agg_orders_daily_revenue[[#This Row],[Order_Date]],"yyyy-mm")</f>
        <v>2025-10</v>
      </c>
      <c r="H660">
        <f>WEEKDAY(agg_orders_daily_revenue[[#This Row],[Order_Date]],2)</f>
        <v>1</v>
      </c>
      <c r="I660" t="str">
        <f>IF(OR(agg_orders_daily_revenue[[#This Row],[Weekday_Num]]=6, agg_orders_daily_revenue[[#This Row],[Weekday_Num]]=7), "Weekend", "Weekday")</f>
        <v>Weekday</v>
      </c>
      <c r="J660" t="str">
        <f>TEXT(agg_orders_daily_revenue[[#This Row],[Order_Date]], "ddd")</f>
        <v>Mon</v>
      </c>
    </row>
    <row r="661" spans="1:10" x14ac:dyDescent="0.4">
      <c r="A661" s="1">
        <v>45951</v>
      </c>
      <c r="B661">
        <v>474243</v>
      </c>
      <c r="C661">
        <v>505740.71</v>
      </c>
      <c r="D661">
        <v>388</v>
      </c>
      <c r="E661">
        <f>YEAR(agg_orders_daily_revenue[[#This Row],[Order_Date]])</f>
        <v>2025</v>
      </c>
      <c r="F661">
        <f>MONTH(agg_orders_daily_revenue[[#This Row],[Order_Date]])</f>
        <v>10</v>
      </c>
      <c r="G661" t="str">
        <f>TEXT(agg_orders_daily_revenue[[#This Row],[Order_Date]],"yyyy-mm")</f>
        <v>2025-10</v>
      </c>
      <c r="H661">
        <f>WEEKDAY(agg_orders_daily_revenue[[#This Row],[Order_Date]],2)</f>
        <v>2</v>
      </c>
      <c r="I661" t="str">
        <f>IF(OR(agg_orders_daily_revenue[[#This Row],[Weekday_Num]]=6, agg_orders_daily_revenue[[#This Row],[Weekday_Num]]=7), "Weekend", "Weekday")</f>
        <v>Weekday</v>
      </c>
      <c r="J661" t="str">
        <f>TEXT(agg_orders_daily_revenue[[#This Row],[Order_Date]], "ddd")</f>
        <v>Tue</v>
      </c>
    </row>
    <row r="662" spans="1:10" x14ac:dyDescent="0.4">
      <c r="A662" s="1">
        <v>45952</v>
      </c>
      <c r="B662">
        <v>509384</v>
      </c>
      <c r="C662">
        <v>500911.71</v>
      </c>
      <c r="D662">
        <v>406</v>
      </c>
      <c r="E662">
        <f>YEAR(agg_orders_daily_revenue[[#This Row],[Order_Date]])</f>
        <v>2025</v>
      </c>
      <c r="F662">
        <f>MONTH(agg_orders_daily_revenue[[#This Row],[Order_Date]])</f>
        <v>10</v>
      </c>
      <c r="G662" t="str">
        <f>TEXT(agg_orders_daily_revenue[[#This Row],[Order_Date]],"yyyy-mm")</f>
        <v>2025-10</v>
      </c>
      <c r="H662">
        <f>WEEKDAY(agg_orders_daily_revenue[[#This Row],[Order_Date]],2)</f>
        <v>3</v>
      </c>
      <c r="I662" t="str">
        <f>IF(OR(agg_orders_daily_revenue[[#This Row],[Weekday_Num]]=6, agg_orders_daily_revenue[[#This Row],[Weekday_Num]]=7), "Weekend", "Weekday")</f>
        <v>Weekday</v>
      </c>
      <c r="J662" t="str">
        <f>TEXT(agg_orders_daily_revenue[[#This Row],[Order_Date]], "ddd")</f>
        <v>Wed</v>
      </c>
    </row>
    <row r="663" spans="1:10" x14ac:dyDescent="0.4">
      <c r="A663" s="1">
        <v>45953</v>
      </c>
      <c r="B663">
        <v>489126</v>
      </c>
      <c r="C663">
        <v>494458.71</v>
      </c>
      <c r="D663">
        <v>383</v>
      </c>
      <c r="E663">
        <f>YEAR(agg_orders_daily_revenue[[#This Row],[Order_Date]])</f>
        <v>2025</v>
      </c>
      <c r="F663">
        <f>MONTH(agg_orders_daily_revenue[[#This Row],[Order_Date]])</f>
        <v>10</v>
      </c>
      <c r="G663" t="str">
        <f>TEXT(agg_orders_daily_revenue[[#This Row],[Order_Date]],"yyyy-mm")</f>
        <v>2025-10</v>
      </c>
      <c r="H663">
        <f>WEEKDAY(agg_orders_daily_revenue[[#This Row],[Order_Date]],2)</f>
        <v>4</v>
      </c>
      <c r="I663" t="str">
        <f>IF(OR(agg_orders_daily_revenue[[#This Row],[Weekday_Num]]=6, agg_orders_daily_revenue[[#This Row],[Weekday_Num]]=7), "Weekend", "Weekday")</f>
        <v>Weekday</v>
      </c>
      <c r="J663" t="str">
        <f>TEXT(agg_orders_daily_revenue[[#This Row],[Order_Date]], "ddd")</f>
        <v>Thu</v>
      </c>
    </row>
    <row r="664" spans="1:10" x14ac:dyDescent="0.4">
      <c r="A664" s="1">
        <v>45954</v>
      </c>
      <c r="B664">
        <v>472637</v>
      </c>
      <c r="C664">
        <v>488114.29</v>
      </c>
      <c r="D664">
        <v>383</v>
      </c>
      <c r="E664">
        <f>YEAR(agg_orders_daily_revenue[[#This Row],[Order_Date]])</f>
        <v>2025</v>
      </c>
      <c r="F664">
        <f>MONTH(agg_orders_daily_revenue[[#This Row],[Order_Date]])</f>
        <v>10</v>
      </c>
      <c r="G664" t="str">
        <f>TEXT(agg_orders_daily_revenue[[#This Row],[Order_Date]],"yyyy-mm")</f>
        <v>2025-10</v>
      </c>
      <c r="H664">
        <f>WEEKDAY(agg_orders_daily_revenue[[#This Row],[Order_Date]],2)</f>
        <v>5</v>
      </c>
      <c r="I664" t="str">
        <f>IF(OR(agg_orders_daily_revenue[[#This Row],[Weekday_Num]]=6, agg_orders_daily_revenue[[#This Row],[Weekday_Num]]=7), "Weekend", "Weekday")</f>
        <v>Weekday</v>
      </c>
      <c r="J664" t="str">
        <f>TEXT(agg_orders_daily_revenue[[#This Row],[Order_Date]], "ddd")</f>
        <v>Fri</v>
      </c>
    </row>
    <row r="665" spans="1:10" x14ac:dyDescent="0.4">
      <c r="A665" s="1">
        <v>45955</v>
      </c>
      <c r="B665">
        <v>484286</v>
      </c>
      <c r="C665">
        <v>487718.14</v>
      </c>
      <c r="D665">
        <v>385</v>
      </c>
      <c r="E665">
        <f>YEAR(agg_orders_daily_revenue[[#This Row],[Order_Date]])</f>
        <v>2025</v>
      </c>
      <c r="F665">
        <f>MONTH(agg_orders_daily_revenue[[#This Row],[Order_Date]])</f>
        <v>10</v>
      </c>
      <c r="G665" t="str">
        <f>TEXT(agg_orders_daily_revenue[[#This Row],[Order_Date]],"yyyy-mm")</f>
        <v>2025-10</v>
      </c>
      <c r="H665">
        <f>WEEKDAY(agg_orders_daily_revenue[[#This Row],[Order_Date]],2)</f>
        <v>6</v>
      </c>
      <c r="I665" t="str">
        <f>IF(OR(agg_orders_daily_revenue[[#This Row],[Weekday_Num]]=6, agg_orders_daily_revenue[[#This Row],[Weekday_Num]]=7), "Weekend", "Weekday")</f>
        <v>Weekend</v>
      </c>
      <c r="J665" t="str">
        <f>TEXT(agg_orders_daily_revenue[[#This Row],[Order_Date]], "ddd")</f>
        <v>Sat</v>
      </c>
    </row>
    <row r="666" spans="1:10" x14ac:dyDescent="0.4">
      <c r="A666" s="1">
        <v>45956</v>
      </c>
      <c r="B666">
        <v>470436</v>
      </c>
      <c r="C666">
        <v>489233.57</v>
      </c>
      <c r="D666">
        <v>371</v>
      </c>
      <c r="E666">
        <f>YEAR(agg_orders_daily_revenue[[#This Row],[Order_Date]])</f>
        <v>2025</v>
      </c>
      <c r="F666">
        <f>MONTH(agg_orders_daily_revenue[[#This Row],[Order_Date]])</f>
        <v>10</v>
      </c>
      <c r="G666" t="str">
        <f>TEXT(agg_orders_daily_revenue[[#This Row],[Order_Date]],"yyyy-mm")</f>
        <v>2025-10</v>
      </c>
      <c r="H666">
        <f>WEEKDAY(agg_orders_daily_revenue[[#This Row],[Order_Date]],2)</f>
        <v>7</v>
      </c>
      <c r="I666" t="str">
        <f>IF(OR(agg_orders_daily_revenue[[#This Row],[Weekday_Num]]=6, agg_orders_daily_revenue[[#This Row],[Weekday_Num]]=7), "Weekend", "Weekday")</f>
        <v>Weekend</v>
      </c>
      <c r="J666" t="str">
        <f>TEXT(agg_orders_daily_revenue[[#This Row],[Order_Date]], "ddd")</f>
        <v>Sun</v>
      </c>
    </row>
    <row r="667" spans="1:10" x14ac:dyDescent="0.4">
      <c r="A667" s="1">
        <v>45957</v>
      </c>
      <c r="B667">
        <v>532883</v>
      </c>
      <c r="C667">
        <v>490427.86</v>
      </c>
      <c r="D667">
        <v>428</v>
      </c>
      <c r="E667">
        <f>YEAR(agg_orders_daily_revenue[[#This Row],[Order_Date]])</f>
        <v>2025</v>
      </c>
      <c r="F667">
        <f>MONTH(agg_orders_daily_revenue[[#This Row],[Order_Date]])</f>
        <v>10</v>
      </c>
      <c r="G667" t="str">
        <f>TEXT(agg_orders_daily_revenue[[#This Row],[Order_Date]],"yyyy-mm")</f>
        <v>2025-10</v>
      </c>
      <c r="H667">
        <f>WEEKDAY(agg_orders_daily_revenue[[#This Row],[Order_Date]],2)</f>
        <v>1</v>
      </c>
      <c r="I667" t="str">
        <f>IF(OR(agg_orders_daily_revenue[[#This Row],[Weekday_Num]]=6, agg_orders_daily_revenue[[#This Row],[Weekday_Num]]=7), "Weekend", "Weekday")</f>
        <v>Weekday</v>
      </c>
      <c r="J667" t="str">
        <f>TEXT(agg_orders_daily_revenue[[#This Row],[Order_Date]], "ddd")</f>
        <v>Mon</v>
      </c>
    </row>
    <row r="668" spans="1:10" x14ac:dyDescent="0.4">
      <c r="A668" s="1">
        <v>45958</v>
      </c>
      <c r="B668">
        <v>467930</v>
      </c>
      <c r="C668">
        <v>489526</v>
      </c>
      <c r="D668">
        <v>374</v>
      </c>
      <c r="E668">
        <f>YEAR(agg_orders_daily_revenue[[#This Row],[Order_Date]])</f>
        <v>2025</v>
      </c>
      <c r="F668">
        <f>MONTH(agg_orders_daily_revenue[[#This Row],[Order_Date]])</f>
        <v>10</v>
      </c>
      <c r="G668" t="str">
        <f>TEXT(agg_orders_daily_revenue[[#This Row],[Order_Date]],"yyyy-mm")</f>
        <v>2025-10</v>
      </c>
      <c r="H668">
        <f>WEEKDAY(agg_orders_daily_revenue[[#This Row],[Order_Date]],2)</f>
        <v>2</v>
      </c>
      <c r="I668" t="str">
        <f>IF(OR(agg_orders_daily_revenue[[#This Row],[Weekday_Num]]=6, agg_orders_daily_revenue[[#This Row],[Weekday_Num]]=7), "Weekend", "Weekday")</f>
        <v>Weekday</v>
      </c>
      <c r="J668" t="str">
        <f>TEXT(agg_orders_daily_revenue[[#This Row],[Order_Date]], "ddd")</f>
        <v>Tue</v>
      </c>
    </row>
    <row r="669" spans="1:10" x14ac:dyDescent="0.4">
      <c r="A669" s="1">
        <v>45959</v>
      </c>
      <c r="B669">
        <v>511539</v>
      </c>
      <c r="C669">
        <v>489833.86</v>
      </c>
      <c r="D669">
        <v>413</v>
      </c>
      <c r="E669">
        <f>YEAR(agg_orders_daily_revenue[[#This Row],[Order_Date]])</f>
        <v>2025</v>
      </c>
      <c r="F669">
        <f>MONTH(agg_orders_daily_revenue[[#This Row],[Order_Date]])</f>
        <v>10</v>
      </c>
      <c r="G669" t="str">
        <f>TEXT(agg_orders_daily_revenue[[#This Row],[Order_Date]],"yyyy-mm")</f>
        <v>2025-10</v>
      </c>
      <c r="H669">
        <f>WEEKDAY(agg_orders_daily_revenue[[#This Row],[Order_Date]],2)</f>
        <v>3</v>
      </c>
      <c r="I669" t="str">
        <f>IF(OR(agg_orders_daily_revenue[[#This Row],[Weekday_Num]]=6, agg_orders_daily_revenue[[#This Row],[Weekday_Num]]=7), "Weekend", "Weekday")</f>
        <v>Weekday</v>
      </c>
      <c r="J669" t="str">
        <f>TEXT(agg_orders_daily_revenue[[#This Row],[Order_Date]], "ddd")</f>
        <v>Wed</v>
      </c>
    </row>
    <row r="670" spans="1:10" x14ac:dyDescent="0.4">
      <c r="A670" s="1">
        <v>45960</v>
      </c>
      <c r="B670">
        <v>522325</v>
      </c>
      <c r="C670">
        <v>494576.57</v>
      </c>
      <c r="D670">
        <v>420</v>
      </c>
      <c r="E670">
        <f>YEAR(agg_orders_daily_revenue[[#This Row],[Order_Date]])</f>
        <v>2025</v>
      </c>
      <c r="F670">
        <f>MONTH(agg_orders_daily_revenue[[#This Row],[Order_Date]])</f>
        <v>10</v>
      </c>
      <c r="G670" t="str">
        <f>TEXT(agg_orders_daily_revenue[[#This Row],[Order_Date]],"yyyy-mm")</f>
        <v>2025-10</v>
      </c>
      <c r="H670">
        <f>WEEKDAY(agg_orders_daily_revenue[[#This Row],[Order_Date]],2)</f>
        <v>4</v>
      </c>
      <c r="I670" t="str">
        <f>IF(OR(agg_orders_daily_revenue[[#This Row],[Weekday_Num]]=6, agg_orders_daily_revenue[[#This Row],[Weekday_Num]]=7), "Weekend", "Weekday")</f>
        <v>Weekday</v>
      </c>
      <c r="J670" t="str">
        <f>TEXT(agg_orders_daily_revenue[[#This Row],[Order_Date]], "ddd")</f>
        <v>Thu</v>
      </c>
    </row>
    <row r="671" spans="1:10" x14ac:dyDescent="0.4">
      <c r="A671" s="1">
        <v>45961</v>
      </c>
      <c r="B671">
        <v>527021</v>
      </c>
      <c r="C671">
        <v>502345.71</v>
      </c>
      <c r="D671">
        <v>422</v>
      </c>
      <c r="E671">
        <f>YEAR(agg_orders_daily_revenue[[#This Row],[Order_Date]])</f>
        <v>2025</v>
      </c>
      <c r="F671">
        <f>MONTH(agg_orders_daily_revenue[[#This Row],[Order_Date]])</f>
        <v>10</v>
      </c>
      <c r="G671" t="str">
        <f>TEXT(agg_orders_daily_revenue[[#This Row],[Order_Date]],"yyyy-mm")</f>
        <v>2025-10</v>
      </c>
      <c r="H671">
        <f>WEEKDAY(agg_orders_daily_revenue[[#This Row],[Order_Date]],2)</f>
        <v>5</v>
      </c>
      <c r="I671" t="str">
        <f>IF(OR(agg_orders_daily_revenue[[#This Row],[Weekday_Num]]=6, agg_orders_daily_revenue[[#This Row],[Weekday_Num]]=7), "Weekend", "Weekday")</f>
        <v>Weekday</v>
      </c>
      <c r="J671" t="str">
        <f>TEXT(agg_orders_daily_revenue[[#This Row],[Order_Date]], "ddd")</f>
        <v>Fri</v>
      </c>
    </row>
    <row r="672" spans="1:10" x14ac:dyDescent="0.4">
      <c r="A672" s="1">
        <v>45962</v>
      </c>
      <c r="B672">
        <v>533134</v>
      </c>
      <c r="C672">
        <v>509324</v>
      </c>
      <c r="D672">
        <v>428</v>
      </c>
      <c r="E672">
        <f>YEAR(agg_orders_daily_revenue[[#This Row],[Order_Date]])</f>
        <v>2025</v>
      </c>
      <c r="F672">
        <f>MONTH(agg_orders_daily_revenue[[#This Row],[Order_Date]])</f>
        <v>11</v>
      </c>
      <c r="G672" t="str">
        <f>TEXT(agg_orders_daily_revenue[[#This Row],[Order_Date]],"yyyy-mm")</f>
        <v>2025-11</v>
      </c>
      <c r="H672">
        <f>WEEKDAY(agg_orders_daily_revenue[[#This Row],[Order_Date]],2)</f>
        <v>6</v>
      </c>
      <c r="I672" t="str">
        <f>IF(OR(agg_orders_daily_revenue[[#This Row],[Weekday_Num]]=6, agg_orders_daily_revenue[[#This Row],[Weekday_Num]]=7), "Weekend", "Weekday")</f>
        <v>Weekend</v>
      </c>
      <c r="J672" t="str">
        <f>TEXT(agg_orders_daily_revenue[[#This Row],[Order_Date]], "ddd")</f>
        <v>Sat</v>
      </c>
    </row>
    <row r="673" spans="1:10" x14ac:dyDescent="0.4">
      <c r="A673" s="1">
        <v>45963</v>
      </c>
      <c r="B673">
        <v>492464</v>
      </c>
      <c r="C673">
        <v>512470.86</v>
      </c>
      <c r="D673">
        <v>396</v>
      </c>
      <c r="E673">
        <f>YEAR(agg_orders_daily_revenue[[#This Row],[Order_Date]])</f>
        <v>2025</v>
      </c>
      <c r="F673">
        <f>MONTH(agg_orders_daily_revenue[[#This Row],[Order_Date]])</f>
        <v>11</v>
      </c>
      <c r="G673" t="str">
        <f>TEXT(agg_orders_daily_revenue[[#This Row],[Order_Date]],"yyyy-mm")</f>
        <v>2025-11</v>
      </c>
      <c r="H673">
        <f>WEEKDAY(agg_orders_daily_revenue[[#This Row],[Order_Date]],2)</f>
        <v>7</v>
      </c>
      <c r="I673" t="str">
        <f>IF(OR(agg_orders_daily_revenue[[#This Row],[Weekday_Num]]=6, agg_orders_daily_revenue[[#This Row],[Weekday_Num]]=7), "Weekend", "Weekday")</f>
        <v>Weekend</v>
      </c>
      <c r="J673" t="str">
        <f>TEXT(agg_orders_daily_revenue[[#This Row],[Order_Date]], "ddd")</f>
        <v>Sun</v>
      </c>
    </row>
    <row r="674" spans="1:10" x14ac:dyDescent="0.4">
      <c r="A674" s="1">
        <v>45964</v>
      </c>
      <c r="B674">
        <v>503614</v>
      </c>
      <c r="C674">
        <v>508289.57</v>
      </c>
      <c r="D674">
        <v>407</v>
      </c>
      <c r="E674">
        <f>YEAR(agg_orders_daily_revenue[[#This Row],[Order_Date]])</f>
        <v>2025</v>
      </c>
      <c r="F674">
        <f>MONTH(agg_orders_daily_revenue[[#This Row],[Order_Date]])</f>
        <v>11</v>
      </c>
      <c r="G674" t="str">
        <f>TEXT(agg_orders_daily_revenue[[#This Row],[Order_Date]],"yyyy-mm")</f>
        <v>2025-11</v>
      </c>
      <c r="H674">
        <f>WEEKDAY(agg_orders_daily_revenue[[#This Row],[Order_Date]],2)</f>
        <v>1</v>
      </c>
      <c r="I674" t="str">
        <f>IF(OR(agg_orders_daily_revenue[[#This Row],[Weekday_Num]]=6, agg_orders_daily_revenue[[#This Row],[Weekday_Num]]=7), "Weekend", "Weekday")</f>
        <v>Weekday</v>
      </c>
      <c r="J674" t="str">
        <f>TEXT(agg_orders_daily_revenue[[#This Row],[Order_Date]], "ddd")</f>
        <v>Mon</v>
      </c>
    </row>
    <row r="675" spans="1:10" x14ac:dyDescent="0.4">
      <c r="A675" s="1">
        <v>45965</v>
      </c>
      <c r="B675">
        <v>523890</v>
      </c>
      <c r="C675">
        <v>516283.86</v>
      </c>
      <c r="D675">
        <v>420</v>
      </c>
      <c r="E675">
        <f>YEAR(agg_orders_daily_revenue[[#This Row],[Order_Date]])</f>
        <v>2025</v>
      </c>
      <c r="F675">
        <f>MONTH(agg_orders_daily_revenue[[#This Row],[Order_Date]])</f>
        <v>11</v>
      </c>
      <c r="G675" t="str">
        <f>TEXT(agg_orders_daily_revenue[[#This Row],[Order_Date]],"yyyy-mm")</f>
        <v>2025-11</v>
      </c>
      <c r="H675">
        <f>WEEKDAY(agg_orders_daily_revenue[[#This Row],[Order_Date]],2)</f>
        <v>2</v>
      </c>
      <c r="I675" t="str">
        <f>IF(OR(agg_orders_daily_revenue[[#This Row],[Weekday_Num]]=6, agg_orders_daily_revenue[[#This Row],[Weekday_Num]]=7), "Weekend", "Weekday")</f>
        <v>Weekday</v>
      </c>
      <c r="J675" t="str">
        <f>TEXT(agg_orders_daily_revenue[[#This Row],[Order_Date]], "ddd")</f>
        <v>Tue</v>
      </c>
    </row>
    <row r="676" spans="1:10" x14ac:dyDescent="0.4">
      <c r="A676" s="1">
        <v>45966</v>
      </c>
      <c r="B676">
        <v>512533</v>
      </c>
      <c r="C676">
        <v>516425.86</v>
      </c>
      <c r="D676">
        <v>410</v>
      </c>
      <c r="E676">
        <f>YEAR(agg_orders_daily_revenue[[#This Row],[Order_Date]])</f>
        <v>2025</v>
      </c>
      <c r="F676">
        <f>MONTH(agg_orders_daily_revenue[[#This Row],[Order_Date]])</f>
        <v>11</v>
      </c>
      <c r="G676" t="str">
        <f>TEXT(agg_orders_daily_revenue[[#This Row],[Order_Date]],"yyyy-mm")</f>
        <v>2025-11</v>
      </c>
      <c r="H676">
        <f>WEEKDAY(agg_orders_daily_revenue[[#This Row],[Order_Date]],2)</f>
        <v>3</v>
      </c>
      <c r="I676" t="str">
        <f>IF(OR(agg_orders_daily_revenue[[#This Row],[Weekday_Num]]=6, agg_orders_daily_revenue[[#This Row],[Weekday_Num]]=7), "Weekend", "Weekday")</f>
        <v>Weekday</v>
      </c>
      <c r="J676" t="str">
        <f>TEXT(agg_orders_daily_revenue[[#This Row],[Order_Date]], "ddd")</f>
        <v>Wed</v>
      </c>
    </row>
    <row r="677" spans="1:10" x14ac:dyDescent="0.4">
      <c r="A677" s="1">
        <v>45967</v>
      </c>
      <c r="B677">
        <v>495085</v>
      </c>
      <c r="C677">
        <v>512534.43</v>
      </c>
      <c r="D677">
        <v>407</v>
      </c>
      <c r="E677">
        <f>YEAR(agg_orders_daily_revenue[[#This Row],[Order_Date]])</f>
        <v>2025</v>
      </c>
      <c r="F677">
        <f>MONTH(agg_orders_daily_revenue[[#This Row],[Order_Date]])</f>
        <v>11</v>
      </c>
      <c r="G677" t="str">
        <f>TEXT(agg_orders_daily_revenue[[#This Row],[Order_Date]],"yyyy-mm")</f>
        <v>2025-11</v>
      </c>
      <c r="H677">
        <f>WEEKDAY(agg_orders_daily_revenue[[#This Row],[Order_Date]],2)</f>
        <v>4</v>
      </c>
      <c r="I677" t="str">
        <f>IF(OR(agg_orders_daily_revenue[[#This Row],[Weekday_Num]]=6, agg_orders_daily_revenue[[#This Row],[Weekday_Num]]=7), "Weekend", "Weekday")</f>
        <v>Weekday</v>
      </c>
      <c r="J677" t="str">
        <f>TEXT(agg_orders_daily_revenue[[#This Row],[Order_Date]], "ddd")</f>
        <v>Thu</v>
      </c>
    </row>
    <row r="678" spans="1:10" x14ac:dyDescent="0.4">
      <c r="A678" s="1">
        <v>45968</v>
      </c>
      <c r="B678">
        <v>527005</v>
      </c>
      <c r="C678">
        <v>512532.14</v>
      </c>
      <c r="D678">
        <v>416</v>
      </c>
      <c r="E678">
        <f>YEAR(agg_orders_daily_revenue[[#This Row],[Order_Date]])</f>
        <v>2025</v>
      </c>
      <c r="F678">
        <f>MONTH(agg_orders_daily_revenue[[#This Row],[Order_Date]])</f>
        <v>11</v>
      </c>
      <c r="G678" t="str">
        <f>TEXT(agg_orders_daily_revenue[[#This Row],[Order_Date]],"yyyy-mm")</f>
        <v>2025-11</v>
      </c>
      <c r="H678">
        <f>WEEKDAY(agg_orders_daily_revenue[[#This Row],[Order_Date]],2)</f>
        <v>5</v>
      </c>
      <c r="I678" t="str">
        <f>IF(OR(agg_orders_daily_revenue[[#This Row],[Weekday_Num]]=6, agg_orders_daily_revenue[[#This Row],[Weekday_Num]]=7), "Weekend", "Weekday")</f>
        <v>Weekday</v>
      </c>
      <c r="J678" t="str">
        <f>TEXT(agg_orders_daily_revenue[[#This Row],[Order_Date]], "ddd")</f>
        <v>Fri</v>
      </c>
    </row>
    <row r="679" spans="1:10" x14ac:dyDescent="0.4">
      <c r="A679" s="1">
        <v>45969</v>
      </c>
      <c r="B679">
        <v>567737</v>
      </c>
      <c r="C679">
        <v>517475.43</v>
      </c>
      <c r="D679">
        <v>447</v>
      </c>
      <c r="E679">
        <f>YEAR(agg_orders_daily_revenue[[#This Row],[Order_Date]])</f>
        <v>2025</v>
      </c>
      <c r="F679">
        <f>MONTH(agg_orders_daily_revenue[[#This Row],[Order_Date]])</f>
        <v>11</v>
      </c>
      <c r="G679" t="str">
        <f>TEXT(agg_orders_daily_revenue[[#This Row],[Order_Date]],"yyyy-mm")</f>
        <v>2025-11</v>
      </c>
      <c r="H679">
        <f>WEEKDAY(agg_orders_daily_revenue[[#This Row],[Order_Date]],2)</f>
        <v>6</v>
      </c>
      <c r="I679" t="str">
        <f>IF(OR(agg_orders_daily_revenue[[#This Row],[Weekday_Num]]=6, agg_orders_daily_revenue[[#This Row],[Weekday_Num]]=7), "Weekend", "Weekday")</f>
        <v>Weekend</v>
      </c>
      <c r="J679" t="str">
        <f>TEXT(agg_orders_daily_revenue[[#This Row],[Order_Date]], "ddd")</f>
        <v>Sat</v>
      </c>
    </row>
    <row r="680" spans="1:10" x14ac:dyDescent="0.4">
      <c r="A680" s="1">
        <v>45970</v>
      </c>
      <c r="B680">
        <v>544770</v>
      </c>
      <c r="C680">
        <v>524947.71</v>
      </c>
      <c r="D680">
        <v>426</v>
      </c>
      <c r="E680">
        <f>YEAR(agg_orders_daily_revenue[[#This Row],[Order_Date]])</f>
        <v>2025</v>
      </c>
      <c r="F680">
        <f>MONTH(agg_orders_daily_revenue[[#This Row],[Order_Date]])</f>
        <v>11</v>
      </c>
      <c r="G680" t="str">
        <f>TEXT(agg_orders_daily_revenue[[#This Row],[Order_Date]],"yyyy-mm")</f>
        <v>2025-11</v>
      </c>
      <c r="H680">
        <f>WEEKDAY(agg_orders_daily_revenue[[#This Row],[Order_Date]],2)</f>
        <v>7</v>
      </c>
      <c r="I680" t="str">
        <f>IF(OR(agg_orders_daily_revenue[[#This Row],[Weekday_Num]]=6, agg_orders_daily_revenue[[#This Row],[Weekday_Num]]=7), "Weekend", "Weekday")</f>
        <v>Weekend</v>
      </c>
      <c r="J680" t="str">
        <f>TEXT(agg_orders_daily_revenue[[#This Row],[Order_Date]], "ddd")</f>
        <v>Sun</v>
      </c>
    </row>
    <row r="681" spans="1:10" x14ac:dyDescent="0.4">
      <c r="A681" s="1">
        <v>45971</v>
      </c>
      <c r="B681">
        <v>516835</v>
      </c>
      <c r="C681">
        <v>526836.43000000005</v>
      </c>
      <c r="D681">
        <v>400</v>
      </c>
      <c r="E681">
        <f>YEAR(agg_orders_daily_revenue[[#This Row],[Order_Date]])</f>
        <v>2025</v>
      </c>
      <c r="F681">
        <f>MONTH(agg_orders_daily_revenue[[#This Row],[Order_Date]])</f>
        <v>11</v>
      </c>
      <c r="G681" t="str">
        <f>TEXT(agg_orders_daily_revenue[[#This Row],[Order_Date]],"yyyy-mm")</f>
        <v>2025-11</v>
      </c>
      <c r="H681">
        <f>WEEKDAY(agg_orders_daily_revenue[[#This Row],[Order_Date]],2)</f>
        <v>1</v>
      </c>
      <c r="I681" t="str">
        <f>IF(OR(agg_orders_daily_revenue[[#This Row],[Weekday_Num]]=6, agg_orders_daily_revenue[[#This Row],[Weekday_Num]]=7), "Weekend", "Weekday")</f>
        <v>Weekday</v>
      </c>
      <c r="J681" t="str">
        <f>TEXT(agg_orders_daily_revenue[[#This Row],[Order_Date]], "ddd")</f>
        <v>Mon</v>
      </c>
    </row>
    <row r="682" spans="1:10" x14ac:dyDescent="0.4">
      <c r="A682" s="1">
        <v>45972</v>
      </c>
      <c r="B682">
        <v>477335</v>
      </c>
      <c r="C682">
        <v>520185.71</v>
      </c>
      <c r="D682">
        <v>410</v>
      </c>
      <c r="E682">
        <f>YEAR(agg_orders_daily_revenue[[#This Row],[Order_Date]])</f>
        <v>2025</v>
      </c>
      <c r="F682">
        <f>MONTH(agg_orders_daily_revenue[[#This Row],[Order_Date]])</f>
        <v>11</v>
      </c>
      <c r="G682" t="str">
        <f>TEXT(agg_orders_daily_revenue[[#This Row],[Order_Date]],"yyyy-mm")</f>
        <v>2025-11</v>
      </c>
      <c r="H682">
        <f>WEEKDAY(agg_orders_daily_revenue[[#This Row],[Order_Date]],2)</f>
        <v>2</v>
      </c>
      <c r="I682" t="str">
        <f>IF(OR(agg_orders_daily_revenue[[#This Row],[Weekday_Num]]=6, agg_orders_daily_revenue[[#This Row],[Weekday_Num]]=7), "Weekend", "Weekday")</f>
        <v>Weekday</v>
      </c>
      <c r="J682" t="str">
        <f>TEXT(agg_orders_daily_revenue[[#This Row],[Order_Date]], "ddd")</f>
        <v>Tue</v>
      </c>
    </row>
    <row r="683" spans="1:10" x14ac:dyDescent="0.4">
      <c r="A683" s="1">
        <v>45973</v>
      </c>
      <c r="B683">
        <v>500884</v>
      </c>
      <c r="C683">
        <v>518521.57</v>
      </c>
      <c r="D683">
        <v>398</v>
      </c>
      <c r="E683">
        <f>YEAR(agg_orders_daily_revenue[[#This Row],[Order_Date]])</f>
        <v>2025</v>
      </c>
      <c r="F683">
        <f>MONTH(agg_orders_daily_revenue[[#This Row],[Order_Date]])</f>
        <v>11</v>
      </c>
      <c r="G683" t="str">
        <f>TEXT(agg_orders_daily_revenue[[#This Row],[Order_Date]],"yyyy-mm")</f>
        <v>2025-11</v>
      </c>
      <c r="H683">
        <f>WEEKDAY(agg_orders_daily_revenue[[#This Row],[Order_Date]],2)</f>
        <v>3</v>
      </c>
      <c r="I683" t="str">
        <f>IF(OR(agg_orders_daily_revenue[[#This Row],[Weekday_Num]]=6, agg_orders_daily_revenue[[#This Row],[Weekday_Num]]=7), "Weekend", "Weekday")</f>
        <v>Weekday</v>
      </c>
      <c r="J683" t="str">
        <f>TEXT(agg_orders_daily_revenue[[#This Row],[Order_Date]], "ddd")</f>
        <v>Wed</v>
      </c>
    </row>
    <row r="684" spans="1:10" x14ac:dyDescent="0.4">
      <c r="A684" s="1">
        <v>45974</v>
      </c>
      <c r="B684">
        <v>544777</v>
      </c>
      <c r="C684">
        <v>525620.43000000005</v>
      </c>
      <c r="D684">
        <v>419</v>
      </c>
      <c r="E684">
        <f>YEAR(agg_orders_daily_revenue[[#This Row],[Order_Date]])</f>
        <v>2025</v>
      </c>
      <c r="F684">
        <f>MONTH(agg_orders_daily_revenue[[#This Row],[Order_Date]])</f>
        <v>11</v>
      </c>
      <c r="G684" t="str">
        <f>TEXT(agg_orders_daily_revenue[[#This Row],[Order_Date]],"yyyy-mm")</f>
        <v>2025-11</v>
      </c>
      <c r="H684">
        <f>WEEKDAY(agg_orders_daily_revenue[[#This Row],[Order_Date]],2)</f>
        <v>4</v>
      </c>
      <c r="I684" t="str">
        <f>IF(OR(agg_orders_daily_revenue[[#This Row],[Weekday_Num]]=6, agg_orders_daily_revenue[[#This Row],[Weekday_Num]]=7), "Weekend", "Weekday")</f>
        <v>Weekday</v>
      </c>
      <c r="J684" t="str">
        <f>TEXT(agg_orders_daily_revenue[[#This Row],[Order_Date]], "ddd")</f>
        <v>Thu</v>
      </c>
    </row>
    <row r="685" spans="1:10" x14ac:dyDescent="0.4">
      <c r="A685" s="1">
        <v>45975</v>
      </c>
      <c r="B685">
        <v>483584</v>
      </c>
      <c r="C685">
        <v>519417.43</v>
      </c>
      <c r="D685">
        <v>381</v>
      </c>
      <c r="E685">
        <f>YEAR(agg_orders_daily_revenue[[#This Row],[Order_Date]])</f>
        <v>2025</v>
      </c>
      <c r="F685">
        <f>MONTH(agg_orders_daily_revenue[[#This Row],[Order_Date]])</f>
        <v>11</v>
      </c>
      <c r="G685" t="str">
        <f>TEXT(agg_orders_daily_revenue[[#This Row],[Order_Date]],"yyyy-mm")</f>
        <v>2025-11</v>
      </c>
      <c r="H685">
        <f>WEEKDAY(agg_orders_daily_revenue[[#This Row],[Order_Date]],2)</f>
        <v>5</v>
      </c>
      <c r="I685" t="str">
        <f>IF(OR(agg_orders_daily_revenue[[#This Row],[Weekday_Num]]=6, agg_orders_daily_revenue[[#This Row],[Weekday_Num]]=7), "Weekend", "Weekday")</f>
        <v>Weekday</v>
      </c>
      <c r="J685" t="str">
        <f>TEXT(agg_orders_daily_revenue[[#This Row],[Order_Date]], "ddd")</f>
        <v>Fri</v>
      </c>
    </row>
    <row r="686" spans="1:10" x14ac:dyDescent="0.4">
      <c r="A686" s="1">
        <v>45976</v>
      </c>
      <c r="B686">
        <v>478515</v>
      </c>
      <c r="C686">
        <v>506671.43</v>
      </c>
      <c r="D686">
        <v>410</v>
      </c>
      <c r="E686">
        <f>YEAR(agg_orders_daily_revenue[[#This Row],[Order_Date]])</f>
        <v>2025</v>
      </c>
      <c r="F686">
        <f>MONTH(agg_orders_daily_revenue[[#This Row],[Order_Date]])</f>
        <v>11</v>
      </c>
      <c r="G686" t="str">
        <f>TEXT(agg_orders_daily_revenue[[#This Row],[Order_Date]],"yyyy-mm")</f>
        <v>2025-11</v>
      </c>
      <c r="H686">
        <f>WEEKDAY(agg_orders_daily_revenue[[#This Row],[Order_Date]],2)</f>
        <v>6</v>
      </c>
      <c r="I686" t="str">
        <f>IF(OR(agg_orders_daily_revenue[[#This Row],[Weekday_Num]]=6, agg_orders_daily_revenue[[#This Row],[Weekday_Num]]=7), "Weekend", "Weekday")</f>
        <v>Weekend</v>
      </c>
      <c r="J686" t="str">
        <f>TEXT(agg_orders_daily_revenue[[#This Row],[Order_Date]], "ddd")</f>
        <v>Sat</v>
      </c>
    </row>
    <row r="687" spans="1:10" x14ac:dyDescent="0.4">
      <c r="A687" s="1">
        <v>45977</v>
      </c>
      <c r="B687">
        <v>500588</v>
      </c>
      <c r="C687">
        <v>500359.71</v>
      </c>
      <c r="D687">
        <v>414</v>
      </c>
      <c r="E687">
        <f>YEAR(agg_orders_daily_revenue[[#This Row],[Order_Date]])</f>
        <v>2025</v>
      </c>
      <c r="F687">
        <f>MONTH(agg_orders_daily_revenue[[#This Row],[Order_Date]])</f>
        <v>11</v>
      </c>
      <c r="G687" t="str">
        <f>TEXT(agg_orders_daily_revenue[[#This Row],[Order_Date]],"yyyy-mm")</f>
        <v>2025-11</v>
      </c>
      <c r="H687">
        <f>WEEKDAY(agg_orders_daily_revenue[[#This Row],[Order_Date]],2)</f>
        <v>7</v>
      </c>
      <c r="I687" t="str">
        <f>IF(OR(agg_orders_daily_revenue[[#This Row],[Weekday_Num]]=6, agg_orders_daily_revenue[[#This Row],[Weekday_Num]]=7), "Weekend", "Weekday")</f>
        <v>Weekend</v>
      </c>
      <c r="J687" t="str">
        <f>TEXT(agg_orders_daily_revenue[[#This Row],[Order_Date]], "ddd")</f>
        <v>Sun</v>
      </c>
    </row>
    <row r="688" spans="1:10" x14ac:dyDescent="0.4">
      <c r="A688" s="1">
        <v>45978</v>
      </c>
      <c r="B688">
        <v>520186</v>
      </c>
      <c r="C688">
        <v>500838.43</v>
      </c>
      <c r="D688">
        <v>420</v>
      </c>
      <c r="E688">
        <f>YEAR(agg_orders_daily_revenue[[#This Row],[Order_Date]])</f>
        <v>2025</v>
      </c>
      <c r="F688">
        <f>MONTH(agg_orders_daily_revenue[[#This Row],[Order_Date]])</f>
        <v>11</v>
      </c>
      <c r="G688" t="str">
        <f>TEXT(agg_orders_daily_revenue[[#This Row],[Order_Date]],"yyyy-mm")</f>
        <v>2025-11</v>
      </c>
      <c r="H688">
        <f>WEEKDAY(agg_orders_daily_revenue[[#This Row],[Order_Date]],2)</f>
        <v>1</v>
      </c>
      <c r="I688" t="str">
        <f>IF(OR(agg_orders_daily_revenue[[#This Row],[Weekday_Num]]=6, agg_orders_daily_revenue[[#This Row],[Weekday_Num]]=7), "Weekend", "Weekday")</f>
        <v>Weekday</v>
      </c>
      <c r="J688" t="str">
        <f>TEXT(agg_orders_daily_revenue[[#This Row],[Order_Date]], "ddd")</f>
        <v>Mon</v>
      </c>
    </row>
    <row r="689" spans="1:10" x14ac:dyDescent="0.4">
      <c r="A689" s="1">
        <v>45979</v>
      </c>
      <c r="B689">
        <v>478485</v>
      </c>
      <c r="C689">
        <v>501002.71</v>
      </c>
      <c r="D689">
        <v>391</v>
      </c>
      <c r="E689">
        <f>YEAR(agg_orders_daily_revenue[[#This Row],[Order_Date]])</f>
        <v>2025</v>
      </c>
      <c r="F689">
        <f>MONTH(agg_orders_daily_revenue[[#This Row],[Order_Date]])</f>
        <v>11</v>
      </c>
      <c r="G689" t="str">
        <f>TEXT(agg_orders_daily_revenue[[#This Row],[Order_Date]],"yyyy-mm")</f>
        <v>2025-11</v>
      </c>
      <c r="H689">
        <f>WEEKDAY(agg_orders_daily_revenue[[#This Row],[Order_Date]],2)</f>
        <v>2</v>
      </c>
      <c r="I689" t="str">
        <f>IF(OR(agg_orders_daily_revenue[[#This Row],[Weekday_Num]]=6, agg_orders_daily_revenue[[#This Row],[Weekday_Num]]=7), "Weekend", "Weekday")</f>
        <v>Weekday</v>
      </c>
      <c r="J689" t="str">
        <f>TEXT(agg_orders_daily_revenue[[#This Row],[Order_Date]], "ddd")</f>
        <v>Tue</v>
      </c>
    </row>
    <row r="690" spans="1:10" x14ac:dyDescent="0.4">
      <c r="A690" s="1">
        <v>45980</v>
      </c>
      <c r="B690">
        <v>461175</v>
      </c>
      <c r="C690">
        <v>495330</v>
      </c>
      <c r="D690">
        <v>395</v>
      </c>
      <c r="E690">
        <f>YEAR(agg_orders_daily_revenue[[#This Row],[Order_Date]])</f>
        <v>2025</v>
      </c>
      <c r="F690">
        <f>MONTH(agg_orders_daily_revenue[[#This Row],[Order_Date]])</f>
        <v>11</v>
      </c>
      <c r="G690" t="str">
        <f>TEXT(agg_orders_daily_revenue[[#This Row],[Order_Date]],"yyyy-mm")</f>
        <v>2025-11</v>
      </c>
      <c r="H690">
        <f>WEEKDAY(agg_orders_daily_revenue[[#This Row],[Order_Date]],2)</f>
        <v>3</v>
      </c>
      <c r="I690" t="str">
        <f>IF(OR(agg_orders_daily_revenue[[#This Row],[Weekday_Num]]=6, agg_orders_daily_revenue[[#This Row],[Weekday_Num]]=7), "Weekend", "Weekday")</f>
        <v>Weekday</v>
      </c>
      <c r="J690" t="str">
        <f>TEXT(agg_orders_daily_revenue[[#This Row],[Order_Date]], "ddd")</f>
        <v>Wed</v>
      </c>
    </row>
    <row r="691" spans="1:10" x14ac:dyDescent="0.4">
      <c r="A691" s="1">
        <v>45981</v>
      </c>
      <c r="B691">
        <v>526501</v>
      </c>
      <c r="C691">
        <v>492719.14</v>
      </c>
      <c r="D691">
        <v>415</v>
      </c>
      <c r="E691">
        <f>YEAR(agg_orders_daily_revenue[[#This Row],[Order_Date]])</f>
        <v>2025</v>
      </c>
      <c r="F691">
        <f>MONTH(agg_orders_daily_revenue[[#This Row],[Order_Date]])</f>
        <v>11</v>
      </c>
      <c r="G691" t="str">
        <f>TEXT(agg_orders_daily_revenue[[#This Row],[Order_Date]],"yyyy-mm")</f>
        <v>2025-11</v>
      </c>
      <c r="H691">
        <f>WEEKDAY(agg_orders_daily_revenue[[#This Row],[Order_Date]],2)</f>
        <v>4</v>
      </c>
      <c r="I691" t="str">
        <f>IF(OR(agg_orders_daily_revenue[[#This Row],[Weekday_Num]]=6, agg_orders_daily_revenue[[#This Row],[Weekday_Num]]=7), "Weekend", "Weekday")</f>
        <v>Weekday</v>
      </c>
      <c r="J691" t="str">
        <f>TEXT(agg_orders_daily_revenue[[#This Row],[Order_Date]], "ddd")</f>
        <v>Thu</v>
      </c>
    </row>
    <row r="692" spans="1:10" x14ac:dyDescent="0.4">
      <c r="A692" s="1">
        <v>45982</v>
      </c>
      <c r="B692">
        <v>543863</v>
      </c>
      <c r="C692">
        <v>501330.43</v>
      </c>
      <c r="D692">
        <v>443</v>
      </c>
      <c r="E692">
        <f>YEAR(agg_orders_daily_revenue[[#This Row],[Order_Date]])</f>
        <v>2025</v>
      </c>
      <c r="F692">
        <f>MONTH(agg_orders_daily_revenue[[#This Row],[Order_Date]])</f>
        <v>11</v>
      </c>
      <c r="G692" t="str">
        <f>TEXT(agg_orders_daily_revenue[[#This Row],[Order_Date]],"yyyy-mm")</f>
        <v>2025-11</v>
      </c>
      <c r="H692">
        <f>WEEKDAY(agg_orders_daily_revenue[[#This Row],[Order_Date]],2)</f>
        <v>5</v>
      </c>
      <c r="I692" t="str">
        <f>IF(OR(agg_orders_daily_revenue[[#This Row],[Weekday_Num]]=6, agg_orders_daily_revenue[[#This Row],[Weekday_Num]]=7), "Weekend", "Weekday")</f>
        <v>Weekday</v>
      </c>
      <c r="J692" t="str">
        <f>TEXT(agg_orders_daily_revenue[[#This Row],[Order_Date]], "ddd")</f>
        <v>Fri</v>
      </c>
    </row>
    <row r="693" spans="1:10" x14ac:dyDescent="0.4">
      <c r="A693" s="1">
        <v>45983</v>
      </c>
      <c r="B693">
        <v>547174</v>
      </c>
      <c r="C693">
        <v>511138.86</v>
      </c>
      <c r="D693">
        <v>425</v>
      </c>
      <c r="E693">
        <f>YEAR(agg_orders_daily_revenue[[#This Row],[Order_Date]])</f>
        <v>2025</v>
      </c>
      <c r="F693">
        <f>MONTH(agg_orders_daily_revenue[[#This Row],[Order_Date]])</f>
        <v>11</v>
      </c>
      <c r="G693" t="str">
        <f>TEXT(agg_orders_daily_revenue[[#This Row],[Order_Date]],"yyyy-mm")</f>
        <v>2025-11</v>
      </c>
      <c r="H693">
        <f>WEEKDAY(agg_orders_daily_revenue[[#This Row],[Order_Date]],2)</f>
        <v>6</v>
      </c>
      <c r="I693" t="str">
        <f>IF(OR(agg_orders_daily_revenue[[#This Row],[Weekday_Num]]=6, agg_orders_daily_revenue[[#This Row],[Weekday_Num]]=7), "Weekend", "Weekday")</f>
        <v>Weekend</v>
      </c>
      <c r="J693" t="str">
        <f>TEXT(agg_orders_daily_revenue[[#This Row],[Order_Date]], "ddd")</f>
        <v>Sat</v>
      </c>
    </row>
    <row r="694" spans="1:10" x14ac:dyDescent="0.4">
      <c r="A694" s="1">
        <v>45984</v>
      </c>
      <c r="B694">
        <v>527629</v>
      </c>
      <c r="C694">
        <v>515001.86</v>
      </c>
      <c r="D694">
        <v>418</v>
      </c>
      <c r="E694">
        <f>YEAR(agg_orders_daily_revenue[[#This Row],[Order_Date]])</f>
        <v>2025</v>
      </c>
      <c r="F694">
        <f>MONTH(agg_orders_daily_revenue[[#This Row],[Order_Date]])</f>
        <v>11</v>
      </c>
      <c r="G694" t="str">
        <f>TEXT(agg_orders_daily_revenue[[#This Row],[Order_Date]],"yyyy-mm")</f>
        <v>2025-11</v>
      </c>
      <c r="H694">
        <f>WEEKDAY(agg_orders_daily_revenue[[#This Row],[Order_Date]],2)</f>
        <v>7</v>
      </c>
      <c r="I694" t="str">
        <f>IF(OR(agg_orders_daily_revenue[[#This Row],[Weekday_Num]]=6, agg_orders_daily_revenue[[#This Row],[Weekday_Num]]=7), "Weekend", "Weekday")</f>
        <v>Weekend</v>
      </c>
      <c r="J694" t="str">
        <f>TEXT(agg_orders_daily_revenue[[#This Row],[Order_Date]], "ddd")</f>
        <v>Sun</v>
      </c>
    </row>
    <row r="695" spans="1:10" x14ac:dyDescent="0.4">
      <c r="A695" s="1">
        <v>45985</v>
      </c>
      <c r="B695">
        <v>524269</v>
      </c>
      <c r="C695">
        <v>515585.14</v>
      </c>
      <c r="D695">
        <v>419</v>
      </c>
      <c r="E695">
        <f>YEAR(agg_orders_daily_revenue[[#This Row],[Order_Date]])</f>
        <v>2025</v>
      </c>
      <c r="F695">
        <f>MONTH(agg_orders_daily_revenue[[#This Row],[Order_Date]])</f>
        <v>11</v>
      </c>
      <c r="G695" t="str">
        <f>TEXT(agg_orders_daily_revenue[[#This Row],[Order_Date]],"yyyy-mm")</f>
        <v>2025-11</v>
      </c>
      <c r="H695">
        <f>WEEKDAY(agg_orders_daily_revenue[[#This Row],[Order_Date]],2)</f>
        <v>1</v>
      </c>
      <c r="I695" t="str">
        <f>IF(OR(agg_orders_daily_revenue[[#This Row],[Weekday_Num]]=6, agg_orders_daily_revenue[[#This Row],[Weekday_Num]]=7), "Weekend", "Weekday")</f>
        <v>Weekday</v>
      </c>
      <c r="J695" t="str">
        <f>TEXT(agg_orders_daily_revenue[[#This Row],[Order_Date]], "ddd")</f>
        <v>Mon</v>
      </c>
    </row>
    <row r="696" spans="1:10" x14ac:dyDescent="0.4">
      <c r="A696" s="1">
        <v>45986</v>
      </c>
      <c r="B696">
        <v>443905</v>
      </c>
      <c r="C696">
        <v>510645.14</v>
      </c>
      <c r="D696">
        <v>365</v>
      </c>
      <c r="E696">
        <f>YEAR(agg_orders_daily_revenue[[#This Row],[Order_Date]])</f>
        <v>2025</v>
      </c>
      <c r="F696">
        <f>MONTH(agg_orders_daily_revenue[[#This Row],[Order_Date]])</f>
        <v>11</v>
      </c>
      <c r="G696" t="str">
        <f>TEXT(agg_orders_daily_revenue[[#This Row],[Order_Date]],"yyyy-mm")</f>
        <v>2025-11</v>
      </c>
      <c r="H696">
        <f>WEEKDAY(agg_orders_daily_revenue[[#This Row],[Order_Date]],2)</f>
        <v>2</v>
      </c>
      <c r="I696" t="str">
        <f>IF(OR(agg_orders_daily_revenue[[#This Row],[Weekday_Num]]=6, agg_orders_daily_revenue[[#This Row],[Weekday_Num]]=7), "Weekend", "Weekday")</f>
        <v>Weekday</v>
      </c>
      <c r="J696" t="str">
        <f>TEXT(agg_orders_daily_revenue[[#This Row],[Order_Date]], "ddd")</f>
        <v>Tue</v>
      </c>
    </row>
    <row r="697" spans="1:10" x14ac:dyDescent="0.4">
      <c r="A697" s="1">
        <v>45987</v>
      </c>
      <c r="B697">
        <v>497853</v>
      </c>
      <c r="C697">
        <v>515884.86</v>
      </c>
      <c r="D697">
        <v>385</v>
      </c>
      <c r="E697">
        <f>YEAR(agg_orders_daily_revenue[[#This Row],[Order_Date]])</f>
        <v>2025</v>
      </c>
      <c r="F697">
        <f>MONTH(agg_orders_daily_revenue[[#This Row],[Order_Date]])</f>
        <v>11</v>
      </c>
      <c r="G697" t="str">
        <f>TEXT(agg_orders_daily_revenue[[#This Row],[Order_Date]],"yyyy-mm")</f>
        <v>2025-11</v>
      </c>
      <c r="H697">
        <f>WEEKDAY(agg_orders_daily_revenue[[#This Row],[Order_Date]],2)</f>
        <v>3</v>
      </c>
      <c r="I697" t="str">
        <f>IF(OR(agg_orders_daily_revenue[[#This Row],[Weekday_Num]]=6, agg_orders_daily_revenue[[#This Row],[Weekday_Num]]=7), "Weekend", "Weekday")</f>
        <v>Weekday</v>
      </c>
      <c r="J697" t="str">
        <f>TEXT(agg_orders_daily_revenue[[#This Row],[Order_Date]], "ddd")</f>
        <v>Wed</v>
      </c>
    </row>
    <row r="698" spans="1:10" x14ac:dyDescent="0.4">
      <c r="A698" s="1">
        <v>45988</v>
      </c>
      <c r="B698">
        <v>499041</v>
      </c>
      <c r="C698">
        <v>511962</v>
      </c>
      <c r="D698">
        <v>405</v>
      </c>
      <c r="E698">
        <f>YEAR(agg_orders_daily_revenue[[#This Row],[Order_Date]])</f>
        <v>2025</v>
      </c>
      <c r="F698">
        <f>MONTH(agg_orders_daily_revenue[[#This Row],[Order_Date]])</f>
        <v>11</v>
      </c>
      <c r="G698" t="str">
        <f>TEXT(agg_orders_daily_revenue[[#This Row],[Order_Date]],"yyyy-mm")</f>
        <v>2025-11</v>
      </c>
      <c r="H698">
        <f>WEEKDAY(agg_orders_daily_revenue[[#This Row],[Order_Date]],2)</f>
        <v>4</v>
      </c>
      <c r="I698" t="str">
        <f>IF(OR(agg_orders_daily_revenue[[#This Row],[Weekday_Num]]=6, agg_orders_daily_revenue[[#This Row],[Weekday_Num]]=7), "Weekend", "Weekday")</f>
        <v>Weekday</v>
      </c>
      <c r="J698" t="str">
        <f>TEXT(agg_orders_daily_revenue[[#This Row],[Order_Date]], "ddd")</f>
        <v>Thu</v>
      </c>
    </row>
    <row r="699" spans="1:10" x14ac:dyDescent="0.4">
      <c r="A699" s="1">
        <v>45989</v>
      </c>
      <c r="B699">
        <v>510439</v>
      </c>
      <c r="C699">
        <v>507187.14</v>
      </c>
      <c r="D699">
        <v>401</v>
      </c>
      <c r="E699">
        <f>YEAR(agg_orders_daily_revenue[[#This Row],[Order_Date]])</f>
        <v>2025</v>
      </c>
      <c r="F699">
        <f>MONTH(agg_orders_daily_revenue[[#This Row],[Order_Date]])</f>
        <v>11</v>
      </c>
      <c r="G699" t="str">
        <f>TEXT(agg_orders_daily_revenue[[#This Row],[Order_Date]],"yyyy-mm")</f>
        <v>2025-11</v>
      </c>
      <c r="H699">
        <f>WEEKDAY(agg_orders_daily_revenue[[#This Row],[Order_Date]],2)</f>
        <v>5</v>
      </c>
      <c r="I699" t="str">
        <f>IF(OR(agg_orders_daily_revenue[[#This Row],[Weekday_Num]]=6, agg_orders_daily_revenue[[#This Row],[Weekday_Num]]=7), "Weekend", "Weekday")</f>
        <v>Weekday</v>
      </c>
      <c r="J699" t="str">
        <f>TEXT(agg_orders_daily_revenue[[#This Row],[Order_Date]], "ddd")</f>
        <v>Fri</v>
      </c>
    </row>
    <row r="700" spans="1:10" x14ac:dyDescent="0.4">
      <c r="A700" s="1">
        <v>45990</v>
      </c>
      <c r="B700">
        <v>542295</v>
      </c>
      <c r="C700">
        <v>506490.14</v>
      </c>
      <c r="D700">
        <v>435</v>
      </c>
      <c r="E700">
        <f>YEAR(agg_orders_daily_revenue[[#This Row],[Order_Date]])</f>
        <v>2025</v>
      </c>
      <c r="F700">
        <f>MONTH(agg_orders_daily_revenue[[#This Row],[Order_Date]])</f>
        <v>11</v>
      </c>
      <c r="G700" t="str">
        <f>TEXT(agg_orders_daily_revenue[[#This Row],[Order_Date]],"yyyy-mm")</f>
        <v>2025-11</v>
      </c>
      <c r="H700">
        <f>WEEKDAY(agg_orders_daily_revenue[[#This Row],[Order_Date]],2)</f>
        <v>6</v>
      </c>
      <c r="I700" t="str">
        <f>IF(OR(agg_orders_daily_revenue[[#This Row],[Weekday_Num]]=6, agg_orders_daily_revenue[[#This Row],[Weekday_Num]]=7), "Weekend", "Weekday")</f>
        <v>Weekend</v>
      </c>
      <c r="J700" t="str">
        <f>TEXT(agg_orders_daily_revenue[[#This Row],[Order_Date]], "ddd")</f>
        <v>Sat</v>
      </c>
    </row>
    <row r="701" spans="1:10" x14ac:dyDescent="0.4">
      <c r="A701" s="1">
        <v>45991</v>
      </c>
      <c r="B701">
        <v>509961</v>
      </c>
      <c r="C701">
        <v>503966.14</v>
      </c>
      <c r="D701">
        <v>417</v>
      </c>
      <c r="E701">
        <f>YEAR(agg_orders_daily_revenue[[#This Row],[Order_Date]])</f>
        <v>2025</v>
      </c>
      <c r="F701">
        <f>MONTH(agg_orders_daily_revenue[[#This Row],[Order_Date]])</f>
        <v>11</v>
      </c>
      <c r="G701" t="str">
        <f>TEXT(agg_orders_daily_revenue[[#This Row],[Order_Date]],"yyyy-mm")</f>
        <v>2025-11</v>
      </c>
      <c r="H701">
        <f>WEEKDAY(agg_orders_daily_revenue[[#This Row],[Order_Date]],2)</f>
        <v>7</v>
      </c>
      <c r="I701" t="str">
        <f>IF(OR(agg_orders_daily_revenue[[#This Row],[Weekday_Num]]=6, agg_orders_daily_revenue[[#This Row],[Weekday_Num]]=7), "Weekend", "Weekday")</f>
        <v>Weekend</v>
      </c>
      <c r="J701" t="str">
        <f>TEXT(agg_orders_daily_revenue[[#This Row],[Order_Date]], "ddd")</f>
        <v>Sun</v>
      </c>
    </row>
    <row r="702" spans="1:10" x14ac:dyDescent="0.4">
      <c r="A702" s="1">
        <v>45992</v>
      </c>
      <c r="B702">
        <v>541353</v>
      </c>
      <c r="C702">
        <v>506406.71</v>
      </c>
      <c r="D702">
        <v>418</v>
      </c>
      <c r="E702">
        <f>YEAR(agg_orders_daily_revenue[[#This Row],[Order_Date]])</f>
        <v>2025</v>
      </c>
      <c r="F702">
        <f>MONTH(agg_orders_daily_revenue[[#This Row],[Order_Date]])</f>
        <v>12</v>
      </c>
      <c r="G702" t="str">
        <f>TEXT(agg_orders_daily_revenue[[#This Row],[Order_Date]],"yyyy-mm")</f>
        <v>2025-12</v>
      </c>
      <c r="H702">
        <f>WEEKDAY(agg_orders_daily_revenue[[#This Row],[Order_Date]],2)</f>
        <v>1</v>
      </c>
      <c r="I702" t="str">
        <f>IF(OR(agg_orders_daily_revenue[[#This Row],[Weekday_Num]]=6, agg_orders_daily_revenue[[#This Row],[Weekday_Num]]=7), "Weekend", "Weekday")</f>
        <v>Weekday</v>
      </c>
      <c r="J702" t="str">
        <f>TEXT(agg_orders_daily_revenue[[#This Row],[Order_Date]], "ddd")</f>
        <v>Mon</v>
      </c>
    </row>
    <row r="703" spans="1:10" x14ac:dyDescent="0.4">
      <c r="A703" s="1">
        <v>45993</v>
      </c>
      <c r="B703">
        <v>505320</v>
      </c>
      <c r="C703">
        <v>515180.29</v>
      </c>
      <c r="D703">
        <v>411</v>
      </c>
      <c r="E703">
        <f>YEAR(agg_orders_daily_revenue[[#This Row],[Order_Date]])</f>
        <v>2025</v>
      </c>
      <c r="F703">
        <f>MONTH(agg_orders_daily_revenue[[#This Row],[Order_Date]])</f>
        <v>12</v>
      </c>
      <c r="G703" t="str">
        <f>TEXT(agg_orders_daily_revenue[[#This Row],[Order_Date]],"yyyy-mm")</f>
        <v>2025-12</v>
      </c>
      <c r="H703">
        <f>WEEKDAY(agg_orders_daily_revenue[[#This Row],[Order_Date]],2)</f>
        <v>2</v>
      </c>
      <c r="I703" t="str">
        <f>IF(OR(agg_orders_daily_revenue[[#This Row],[Weekday_Num]]=6, agg_orders_daily_revenue[[#This Row],[Weekday_Num]]=7), "Weekend", "Weekday")</f>
        <v>Weekday</v>
      </c>
      <c r="J703" t="str">
        <f>TEXT(agg_orders_daily_revenue[[#This Row],[Order_Date]], "ddd")</f>
        <v>Tue</v>
      </c>
    </row>
    <row r="704" spans="1:10" x14ac:dyDescent="0.4">
      <c r="A704" s="1">
        <v>45994</v>
      </c>
      <c r="B704">
        <v>468433</v>
      </c>
      <c r="C704">
        <v>510977.43</v>
      </c>
      <c r="D704">
        <v>390</v>
      </c>
      <c r="E704">
        <f>YEAR(agg_orders_daily_revenue[[#This Row],[Order_Date]])</f>
        <v>2025</v>
      </c>
      <c r="F704">
        <f>MONTH(agg_orders_daily_revenue[[#This Row],[Order_Date]])</f>
        <v>12</v>
      </c>
      <c r="G704" t="str">
        <f>TEXT(agg_orders_daily_revenue[[#This Row],[Order_Date]],"yyyy-mm")</f>
        <v>2025-12</v>
      </c>
      <c r="H704">
        <f>WEEKDAY(agg_orders_daily_revenue[[#This Row],[Order_Date]],2)</f>
        <v>3</v>
      </c>
      <c r="I704" t="str">
        <f>IF(OR(agg_orders_daily_revenue[[#This Row],[Weekday_Num]]=6, agg_orders_daily_revenue[[#This Row],[Weekday_Num]]=7), "Weekend", "Weekday")</f>
        <v>Weekday</v>
      </c>
      <c r="J704" t="str">
        <f>TEXT(agg_orders_daily_revenue[[#This Row],[Order_Date]], "ddd")</f>
        <v>Wed</v>
      </c>
    </row>
    <row r="705" spans="1:10" x14ac:dyDescent="0.4">
      <c r="A705" s="1">
        <v>45995</v>
      </c>
      <c r="B705">
        <v>496531</v>
      </c>
      <c r="C705">
        <v>510618.86</v>
      </c>
      <c r="D705">
        <v>400</v>
      </c>
      <c r="E705">
        <f>YEAR(agg_orders_daily_revenue[[#This Row],[Order_Date]])</f>
        <v>2025</v>
      </c>
      <c r="F705">
        <f>MONTH(agg_orders_daily_revenue[[#This Row],[Order_Date]])</f>
        <v>12</v>
      </c>
      <c r="G705" t="str">
        <f>TEXT(agg_orders_daily_revenue[[#This Row],[Order_Date]],"yyyy-mm")</f>
        <v>2025-12</v>
      </c>
      <c r="H705">
        <f>WEEKDAY(agg_orders_daily_revenue[[#This Row],[Order_Date]],2)</f>
        <v>4</v>
      </c>
      <c r="I705" t="str">
        <f>IF(OR(agg_orders_daily_revenue[[#This Row],[Weekday_Num]]=6, agg_orders_daily_revenue[[#This Row],[Weekday_Num]]=7), "Weekend", "Weekday")</f>
        <v>Weekday</v>
      </c>
      <c r="J705" t="str">
        <f>TEXT(agg_orders_daily_revenue[[#This Row],[Order_Date]], "ddd")</f>
        <v>Thu</v>
      </c>
    </row>
    <row r="706" spans="1:10" x14ac:dyDescent="0.4">
      <c r="A706" s="1">
        <v>45996</v>
      </c>
      <c r="B706">
        <v>535228</v>
      </c>
      <c r="C706">
        <v>514160.14</v>
      </c>
      <c r="D706">
        <v>437</v>
      </c>
      <c r="E706">
        <f>YEAR(agg_orders_daily_revenue[[#This Row],[Order_Date]])</f>
        <v>2025</v>
      </c>
      <c r="F706">
        <f>MONTH(agg_orders_daily_revenue[[#This Row],[Order_Date]])</f>
        <v>12</v>
      </c>
      <c r="G706" t="str">
        <f>TEXT(agg_orders_daily_revenue[[#This Row],[Order_Date]],"yyyy-mm")</f>
        <v>2025-12</v>
      </c>
      <c r="H706">
        <f>WEEKDAY(agg_orders_daily_revenue[[#This Row],[Order_Date]],2)</f>
        <v>5</v>
      </c>
      <c r="I706" t="str">
        <f>IF(OR(agg_orders_daily_revenue[[#This Row],[Weekday_Num]]=6, agg_orders_daily_revenue[[#This Row],[Weekday_Num]]=7), "Weekend", "Weekday")</f>
        <v>Weekday</v>
      </c>
      <c r="J706" t="str">
        <f>TEXT(agg_orders_daily_revenue[[#This Row],[Order_Date]], "ddd")</f>
        <v>Fri</v>
      </c>
    </row>
    <row r="707" spans="1:10" x14ac:dyDescent="0.4">
      <c r="A707" s="1">
        <v>45997</v>
      </c>
      <c r="B707">
        <v>520952</v>
      </c>
      <c r="C707">
        <v>511111.14</v>
      </c>
      <c r="D707">
        <v>419</v>
      </c>
      <c r="E707">
        <f>YEAR(agg_orders_daily_revenue[[#This Row],[Order_Date]])</f>
        <v>2025</v>
      </c>
      <c r="F707">
        <f>MONTH(agg_orders_daily_revenue[[#This Row],[Order_Date]])</f>
        <v>12</v>
      </c>
      <c r="G707" t="str">
        <f>TEXT(agg_orders_daily_revenue[[#This Row],[Order_Date]],"yyyy-mm")</f>
        <v>2025-12</v>
      </c>
      <c r="H707">
        <f>WEEKDAY(agg_orders_daily_revenue[[#This Row],[Order_Date]],2)</f>
        <v>6</v>
      </c>
      <c r="I707" t="str">
        <f>IF(OR(agg_orders_daily_revenue[[#This Row],[Weekday_Num]]=6, agg_orders_daily_revenue[[#This Row],[Weekday_Num]]=7), "Weekend", "Weekday")</f>
        <v>Weekend</v>
      </c>
      <c r="J707" t="str">
        <f>TEXT(agg_orders_daily_revenue[[#This Row],[Order_Date]], "ddd")</f>
        <v>Sat</v>
      </c>
    </row>
    <row r="708" spans="1:10" x14ac:dyDescent="0.4">
      <c r="A708" s="1">
        <v>45998</v>
      </c>
      <c r="B708">
        <v>546638</v>
      </c>
      <c r="C708">
        <v>516350.71</v>
      </c>
      <c r="D708">
        <v>436</v>
      </c>
      <c r="E708">
        <f>YEAR(agg_orders_daily_revenue[[#This Row],[Order_Date]])</f>
        <v>2025</v>
      </c>
      <c r="F708">
        <f>MONTH(agg_orders_daily_revenue[[#This Row],[Order_Date]])</f>
        <v>12</v>
      </c>
      <c r="G708" t="str">
        <f>TEXT(agg_orders_daily_revenue[[#This Row],[Order_Date]],"yyyy-mm")</f>
        <v>2025-12</v>
      </c>
      <c r="H708">
        <f>WEEKDAY(agg_orders_daily_revenue[[#This Row],[Order_Date]],2)</f>
        <v>7</v>
      </c>
      <c r="I708" t="str">
        <f>IF(OR(agg_orders_daily_revenue[[#This Row],[Weekday_Num]]=6, agg_orders_daily_revenue[[#This Row],[Weekday_Num]]=7), "Weekend", "Weekday")</f>
        <v>Weekend</v>
      </c>
      <c r="J708" t="str">
        <f>TEXT(agg_orders_daily_revenue[[#This Row],[Order_Date]], "ddd")</f>
        <v>Sun</v>
      </c>
    </row>
    <row r="709" spans="1:10" x14ac:dyDescent="0.4">
      <c r="A709" s="1">
        <v>45999</v>
      </c>
      <c r="B709">
        <v>509651</v>
      </c>
      <c r="C709">
        <v>511821.86</v>
      </c>
      <c r="D709">
        <v>427</v>
      </c>
      <c r="E709">
        <f>YEAR(agg_orders_daily_revenue[[#This Row],[Order_Date]])</f>
        <v>2025</v>
      </c>
      <c r="F709">
        <f>MONTH(agg_orders_daily_revenue[[#This Row],[Order_Date]])</f>
        <v>12</v>
      </c>
      <c r="G709" t="str">
        <f>TEXT(agg_orders_daily_revenue[[#This Row],[Order_Date]],"yyyy-mm")</f>
        <v>2025-12</v>
      </c>
      <c r="H709">
        <f>WEEKDAY(agg_orders_daily_revenue[[#This Row],[Order_Date]],2)</f>
        <v>1</v>
      </c>
      <c r="I709" t="str">
        <f>IF(OR(agg_orders_daily_revenue[[#This Row],[Weekday_Num]]=6, agg_orders_daily_revenue[[#This Row],[Weekday_Num]]=7), "Weekend", "Weekday")</f>
        <v>Weekday</v>
      </c>
      <c r="J709" t="str">
        <f>TEXT(agg_orders_daily_revenue[[#This Row],[Order_Date]], "ddd")</f>
        <v>Mon</v>
      </c>
    </row>
    <row r="710" spans="1:10" x14ac:dyDescent="0.4">
      <c r="A710" s="1">
        <v>46000</v>
      </c>
      <c r="B710">
        <v>562958</v>
      </c>
      <c r="C710">
        <v>520055.86</v>
      </c>
      <c r="D710">
        <v>448</v>
      </c>
      <c r="E710">
        <f>YEAR(agg_orders_daily_revenue[[#This Row],[Order_Date]])</f>
        <v>2025</v>
      </c>
      <c r="F710">
        <f>MONTH(agg_orders_daily_revenue[[#This Row],[Order_Date]])</f>
        <v>12</v>
      </c>
      <c r="G710" t="str">
        <f>TEXT(agg_orders_daily_revenue[[#This Row],[Order_Date]],"yyyy-mm")</f>
        <v>2025-12</v>
      </c>
      <c r="H710">
        <f>WEEKDAY(agg_orders_daily_revenue[[#This Row],[Order_Date]],2)</f>
        <v>2</v>
      </c>
      <c r="I710" t="str">
        <f>IF(OR(agg_orders_daily_revenue[[#This Row],[Weekday_Num]]=6, agg_orders_daily_revenue[[#This Row],[Weekday_Num]]=7), "Weekend", "Weekday")</f>
        <v>Weekday</v>
      </c>
      <c r="J710" t="str">
        <f>TEXT(agg_orders_daily_revenue[[#This Row],[Order_Date]], "ddd")</f>
        <v>Tue</v>
      </c>
    </row>
    <row r="711" spans="1:10" x14ac:dyDescent="0.4">
      <c r="A711" s="1">
        <v>46001</v>
      </c>
      <c r="B711">
        <v>545222</v>
      </c>
      <c r="C711">
        <v>531025.71</v>
      </c>
      <c r="D711">
        <v>441</v>
      </c>
      <c r="E711">
        <f>YEAR(agg_orders_daily_revenue[[#This Row],[Order_Date]])</f>
        <v>2025</v>
      </c>
      <c r="F711">
        <f>MONTH(agg_orders_daily_revenue[[#This Row],[Order_Date]])</f>
        <v>12</v>
      </c>
      <c r="G711" t="str">
        <f>TEXT(agg_orders_daily_revenue[[#This Row],[Order_Date]],"yyyy-mm")</f>
        <v>2025-12</v>
      </c>
      <c r="H711">
        <f>WEEKDAY(agg_orders_daily_revenue[[#This Row],[Order_Date]],2)</f>
        <v>3</v>
      </c>
      <c r="I711" t="str">
        <f>IF(OR(agg_orders_daily_revenue[[#This Row],[Weekday_Num]]=6, agg_orders_daily_revenue[[#This Row],[Weekday_Num]]=7), "Weekend", "Weekday")</f>
        <v>Weekday</v>
      </c>
      <c r="J711" t="str">
        <f>TEXT(agg_orders_daily_revenue[[#This Row],[Order_Date]], "ddd")</f>
        <v>Wed</v>
      </c>
    </row>
    <row r="712" spans="1:10" x14ac:dyDescent="0.4">
      <c r="A712" s="1">
        <v>46002</v>
      </c>
      <c r="B712">
        <v>498371</v>
      </c>
      <c r="C712">
        <v>531288.56999999995</v>
      </c>
      <c r="D712">
        <v>403</v>
      </c>
      <c r="E712">
        <f>YEAR(agg_orders_daily_revenue[[#This Row],[Order_Date]])</f>
        <v>2025</v>
      </c>
      <c r="F712">
        <f>MONTH(agg_orders_daily_revenue[[#This Row],[Order_Date]])</f>
        <v>12</v>
      </c>
      <c r="G712" t="str">
        <f>TEXT(agg_orders_daily_revenue[[#This Row],[Order_Date]],"yyyy-mm")</f>
        <v>2025-12</v>
      </c>
      <c r="H712">
        <f>WEEKDAY(agg_orders_daily_revenue[[#This Row],[Order_Date]],2)</f>
        <v>4</v>
      </c>
      <c r="I712" t="str">
        <f>IF(OR(agg_orders_daily_revenue[[#This Row],[Weekday_Num]]=6, agg_orders_daily_revenue[[#This Row],[Weekday_Num]]=7), "Weekend", "Weekday")</f>
        <v>Weekday</v>
      </c>
      <c r="J712" t="str">
        <f>TEXT(agg_orders_daily_revenue[[#This Row],[Order_Date]], "ddd")</f>
        <v>Thu</v>
      </c>
    </row>
    <row r="713" spans="1:10" x14ac:dyDescent="0.4">
      <c r="A713" s="1">
        <v>46003</v>
      </c>
      <c r="B713">
        <v>527002</v>
      </c>
      <c r="C713">
        <v>530113.43000000005</v>
      </c>
      <c r="D713">
        <v>415</v>
      </c>
      <c r="E713">
        <f>YEAR(agg_orders_daily_revenue[[#This Row],[Order_Date]])</f>
        <v>2025</v>
      </c>
      <c r="F713">
        <f>MONTH(agg_orders_daily_revenue[[#This Row],[Order_Date]])</f>
        <v>12</v>
      </c>
      <c r="G713" t="str">
        <f>TEXT(agg_orders_daily_revenue[[#This Row],[Order_Date]],"yyyy-mm")</f>
        <v>2025-12</v>
      </c>
      <c r="H713">
        <f>WEEKDAY(agg_orders_daily_revenue[[#This Row],[Order_Date]],2)</f>
        <v>5</v>
      </c>
      <c r="I713" t="str">
        <f>IF(OR(agg_orders_daily_revenue[[#This Row],[Weekday_Num]]=6, agg_orders_daily_revenue[[#This Row],[Weekday_Num]]=7), "Weekend", "Weekday")</f>
        <v>Weekday</v>
      </c>
      <c r="J713" t="str">
        <f>TEXT(agg_orders_daily_revenue[[#This Row],[Order_Date]], "ddd")</f>
        <v>Fri</v>
      </c>
    </row>
    <row r="714" spans="1:10" x14ac:dyDescent="0.4">
      <c r="A714" s="1">
        <v>46004</v>
      </c>
      <c r="B714">
        <v>519788</v>
      </c>
      <c r="C714">
        <v>529947.14</v>
      </c>
      <c r="D714">
        <v>420</v>
      </c>
      <c r="E714">
        <f>YEAR(agg_orders_daily_revenue[[#This Row],[Order_Date]])</f>
        <v>2025</v>
      </c>
      <c r="F714">
        <f>MONTH(agg_orders_daily_revenue[[#This Row],[Order_Date]])</f>
        <v>12</v>
      </c>
      <c r="G714" t="str">
        <f>TEXT(agg_orders_daily_revenue[[#This Row],[Order_Date]],"yyyy-mm")</f>
        <v>2025-12</v>
      </c>
      <c r="H714">
        <f>WEEKDAY(agg_orders_daily_revenue[[#This Row],[Order_Date]],2)</f>
        <v>6</v>
      </c>
      <c r="I714" t="str">
        <f>IF(OR(agg_orders_daily_revenue[[#This Row],[Weekday_Num]]=6, agg_orders_daily_revenue[[#This Row],[Weekday_Num]]=7), "Weekend", "Weekday")</f>
        <v>Weekend</v>
      </c>
      <c r="J714" t="str">
        <f>TEXT(agg_orders_daily_revenue[[#This Row],[Order_Date]], "ddd")</f>
        <v>Sat</v>
      </c>
    </row>
    <row r="715" spans="1:10" x14ac:dyDescent="0.4">
      <c r="A715" s="1">
        <v>46005</v>
      </c>
      <c r="B715">
        <v>490471</v>
      </c>
      <c r="C715">
        <v>521923.29</v>
      </c>
      <c r="D715">
        <v>401</v>
      </c>
      <c r="E715">
        <f>YEAR(agg_orders_daily_revenue[[#This Row],[Order_Date]])</f>
        <v>2025</v>
      </c>
      <c r="F715">
        <f>MONTH(agg_orders_daily_revenue[[#This Row],[Order_Date]])</f>
        <v>12</v>
      </c>
      <c r="G715" t="str">
        <f>TEXT(agg_orders_daily_revenue[[#This Row],[Order_Date]],"yyyy-mm")</f>
        <v>2025-12</v>
      </c>
      <c r="H715">
        <f>WEEKDAY(agg_orders_daily_revenue[[#This Row],[Order_Date]],2)</f>
        <v>7</v>
      </c>
      <c r="I715" t="str">
        <f>IF(OR(agg_orders_daily_revenue[[#This Row],[Weekday_Num]]=6, agg_orders_daily_revenue[[#This Row],[Weekday_Num]]=7), "Weekend", "Weekday")</f>
        <v>Weekend</v>
      </c>
      <c r="J715" t="str">
        <f>TEXT(agg_orders_daily_revenue[[#This Row],[Order_Date]], "ddd")</f>
        <v>Sun</v>
      </c>
    </row>
    <row r="716" spans="1:10" x14ac:dyDescent="0.4">
      <c r="A716" s="1">
        <v>46006</v>
      </c>
      <c r="B716">
        <v>522364</v>
      </c>
      <c r="C716">
        <v>523739.43</v>
      </c>
      <c r="D716">
        <v>421</v>
      </c>
      <c r="E716">
        <f>YEAR(agg_orders_daily_revenue[[#This Row],[Order_Date]])</f>
        <v>2025</v>
      </c>
      <c r="F716">
        <f>MONTH(agg_orders_daily_revenue[[#This Row],[Order_Date]])</f>
        <v>12</v>
      </c>
      <c r="G716" t="str">
        <f>TEXT(agg_orders_daily_revenue[[#This Row],[Order_Date]],"yyyy-mm")</f>
        <v>2025-12</v>
      </c>
      <c r="H716">
        <f>WEEKDAY(agg_orders_daily_revenue[[#This Row],[Order_Date]],2)</f>
        <v>1</v>
      </c>
      <c r="I716" t="str">
        <f>IF(OR(agg_orders_daily_revenue[[#This Row],[Weekday_Num]]=6, agg_orders_daily_revenue[[#This Row],[Weekday_Num]]=7), "Weekend", "Weekday")</f>
        <v>Weekday</v>
      </c>
      <c r="J716" t="str">
        <f>TEXT(agg_orders_daily_revenue[[#This Row],[Order_Date]], "ddd")</f>
        <v>Mon</v>
      </c>
    </row>
    <row r="717" spans="1:10" x14ac:dyDescent="0.4">
      <c r="A717" s="1">
        <v>46007</v>
      </c>
      <c r="B717">
        <v>579040</v>
      </c>
      <c r="C717">
        <v>526036.86</v>
      </c>
      <c r="D717">
        <v>447</v>
      </c>
      <c r="E717">
        <f>YEAR(agg_orders_daily_revenue[[#This Row],[Order_Date]])</f>
        <v>2025</v>
      </c>
      <c r="F717">
        <f>MONTH(agg_orders_daily_revenue[[#This Row],[Order_Date]])</f>
        <v>12</v>
      </c>
      <c r="G717" t="str">
        <f>TEXT(agg_orders_daily_revenue[[#This Row],[Order_Date]],"yyyy-mm")</f>
        <v>2025-12</v>
      </c>
      <c r="H717">
        <f>WEEKDAY(agg_orders_daily_revenue[[#This Row],[Order_Date]],2)</f>
        <v>2</v>
      </c>
      <c r="I717" t="str">
        <f>IF(OR(agg_orders_daily_revenue[[#This Row],[Weekday_Num]]=6, agg_orders_daily_revenue[[#This Row],[Weekday_Num]]=7), "Weekend", "Weekday")</f>
        <v>Weekday</v>
      </c>
      <c r="J717" t="str">
        <f>TEXT(agg_orders_daily_revenue[[#This Row],[Order_Date]], "ddd")</f>
        <v>Tue</v>
      </c>
    </row>
    <row r="718" spans="1:10" x14ac:dyDescent="0.4">
      <c r="A718" s="1">
        <v>46008</v>
      </c>
      <c r="B718">
        <v>518385</v>
      </c>
      <c r="C718">
        <v>522203</v>
      </c>
      <c r="D718">
        <v>447</v>
      </c>
      <c r="E718">
        <f>YEAR(agg_orders_daily_revenue[[#This Row],[Order_Date]])</f>
        <v>2025</v>
      </c>
      <c r="F718">
        <f>MONTH(agg_orders_daily_revenue[[#This Row],[Order_Date]])</f>
        <v>12</v>
      </c>
      <c r="G718" t="str">
        <f>TEXT(agg_orders_daily_revenue[[#This Row],[Order_Date]],"yyyy-mm")</f>
        <v>2025-12</v>
      </c>
      <c r="H718">
        <f>WEEKDAY(agg_orders_daily_revenue[[#This Row],[Order_Date]],2)</f>
        <v>3</v>
      </c>
      <c r="I718" t="str">
        <f>IF(OR(agg_orders_daily_revenue[[#This Row],[Weekday_Num]]=6, agg_orders_daily_revenue[[#This Row],[Weekday_Num]]=7), "Weekend", "Weekday")</f>
        <v>Weekday</v>
      </c>
      <c r="J718" t="str">
        <f>TEXT(agg_orders_daily_revenue[[#This Row],[Order_Date]], "ddd")</f>
        <v>Wed</v>
      </c>
    </row>
    <row r="719" spans="1:10" x14ac:dyDescent="0.4">
      <c r="A719" s="1">
        <v>46009</v>
      </c>
      <c r="B719">
        <v>512439</v>
      </c>
      <c r="C719">
        <v>524212.71</v>
      </c>
      <c r="D719">
        <v>421</v>
      </c>
      <c r="E719">
        <f>YEAR(agg_orders_daily_revenue[[#This Row],[Order_Date]])</f>
        <v>2025</v>
      </c>
      <c r="F719">
        <f>MONTH(agg_orders_daily_revenue[[#This Row],[Order_Date]])</f>
        <v>12</v>
      </c>
      <c r="G719" t="str">
        <f>TEXT(agg_orders_daily_revenue[[#This Row],[Order_Date]],"yyyy-mm")</f>
        <v>2025-12</v>
      </c>
      <c r="H719">
        <f>WEEKDAY(agg_orders_daily_revenue[[#This Row],[Order_Date]],2)</f>
        <v>4</v>
      </c>
      <c r="I719" t="str">
        <f>IF(OR(agg_orders_daily_revenue[[#This Row],[Weekday_Num]]=6, agg_orders_daily_revenue[[#This Row],[Weekday_Num]]=7), "Weekend", "Weekday")</f>
        <v>Weekday</v>
      </c>
      <c r="J719" t="str">
        <f>TEXT(agg_orders_daily_revenue[[#This Row],[Order_Date]], "ddd")</f>
        <v>Thu</v>
      </c>
    </row>
    <row r="720" spans="1:10" x14ac:dyDescent="0.4">
      <c r="A720" s="1">
        <v>46010</v>
      </c>
      <c r="B720">
        <v>475663</v>
      </c>
      <c r="C720">
        <v>516878.57</v>
      </c>
      <c r="D720">
        <v>374</v>
      </c>
      <c r="E720">
        <f>YEAR(agg_orders_daily_revenue[[#This Row],[Order_Date]])</f>
        <v>2025</v>
      </c>
      <c r="F720">
        <f>MONTH(agg_orders_daily_revenue[[#This Row],[Order_Date]])</f>
        <v>12</v>
      </c>
      <c r="G720" t="str">
        <f>TEXT(agg_orders_daily_revenue[[#This Row],[Order_Date]],"yyyy-mm")</f>
        <v>2025-12</v>
      </c>
      <c r="H720">
        <f>WEEKDAY(agg_orders_daily_revenue[[#This Row],[Order_Date]],2)</f>
        <v>5</v>
      </c>
      <c r="I720" t="str">
        <f>IF(OR(agg_orders_daily_revenue[[#This Row],[Weekday_Num]]=6, agg_orders_daily_revenue[[#This Row],[Weekday_Num]]=7), "Weekend", "Weekday")</f>
        <v>Weekday</v>
      </c>
      <c r="J720" t="str">
        <f>TEXT(agg_orders_daily_revenue[[#This Row],[Order_Date]], "ddd")</f>
        <v>Fri</v>
      </c>
    </row>
    <row r="721" spans="1:10" x14ac:dyDescent="0.4">
      <c r="A721" s="1">
        <v>46011</v>
      </c>
      <c r="B721">
        <v>510858</v>
      </c>
      <c r="C721">
        <v>515602.86</v>
      </c>
      <c r="D721">
        <v>403</v>
      </c>
      <c r="E721">
        <f>YEAR(agg_orders_daily_revenue[[#This Row],[Order_Date]])</f>
        <v>2025</v>
      </c>
      <c r="F721">
        <f>MONTH(agg_orders_daily_revenue[[#This Row],[Order_Date]])</f>
        <v>12</v>
      </c>
      <c r="G721" t="str">
        <f>TEXT(agg_orders_daily_revenue[[#This Row],[Order_Date]],"yyyy-mm")</f>
        <v>2025-12</v>
      </c>
      <c r="H721">
        <f>WEEKDAY(agg_orders_daily_revenue[[#This Row],[Order_Date]],2)</f>
        <v>6</v>
      </c>
      <c r="I721" t="str">
        <f>IF(OR(agg_orders_daily_revenue[[#This Row],[Weekday_Num]]=6, agg_orders_daily_revenue[[#This Row],[Weekday_Num]]=7), "Weekend", "Weekday")</f>
        <v>Weekend</v>
      </c>
      <c r="J721" t="str">
        <f>TEXT(agg_orders_daily_revenue[[#This Row],[Order_Date]], "ddd")</f>
        <v>Sat</v>
      </c>
    </row>
    <row r="722" spans="1:10" x14ac:dyDescent="0.4">
      <c r="A722" s="1">
        <v>46012</v>
      </c>
      <c r="B722">
        <v>561902</v>
      </c>
      <c r="C722">
        <v>525807.29</v>
      </c>
      <c r="D722">
        <v>415</v>
      </c>
      <c r="E722">
        <f>YEAR(agg_orders_daily_revenue[[#This Row],[Order_Date]])</f>
        <v>2025</v>
      </c>
      <c r="F722">
        <f>MONTH(agg_orders_daily_revenue[[#This Row],[Order_Date]])</f>
        <v>12</v>
      </c>
      <c r="G722" t="str">
        <f>TEXT(agg_orders_daily_revenue[[#This Row],[Order_Date]],"yyyy-mm")</f>
        <v>2025-12</v>
      </c>
      <c r="H722">
        <f>WEEKDAY(agg_orders_daily_revenue[[#This Row],[Order_Date]],2)</f>
        <v>7</v>
      </c>
      <c r="I722" t="str">
        <f>IF(OR(agg_orders_daily_revenue[[#This Row],[Weekday_Num]]=6, agg_orders_daily_revenue[[#This Row],[Weekday_Num]]=7), "Weekend", "Weekday")</f>
        <v>Weekend</v>
      </c>
      <c r="J722" t="str">
        <f>TEXT(agg_orders_daily_revenue[[#This Row],[Order_Date]], "ddd")</f>
        <v>Sun</v>
      </c>
    </row>
    <row r="723" spans="1:10" x14ac:dyDescent="0.4">
      <c r="A723" s="1">
        <v>46013</v>
      </c>
      <c r="B723">
        <v>522932</v>
      </c>
      <c r="C723">
        <v>525888.43000000005</v>
      </c>
      <c r="D723">
        <v>414</v>
      </c>
      <c r="E723">
        <f>YEAR(agg_orders_daily_revenue[[#This Row],[Order_Date]])</f>
        <v>2025</v>
      </c>
      <c r="F723">
        <f>MONTH(agg_orders_daily_revenue[[#This Row],[Order_Date]])</f>
        <v>12</v>
      </c>
      <c r="G723" t="str">
        <f>TEXT(agg_orders_daily_revenue[[#This Row],[Order_Date]],"yyyy-mm")</f>
        <v>2025-12</v>
      </c>
      <c r="H723">
        <f>WEEKDAY(agg_orders_daily_revenue[[#This Row],[Order_Date]],2)</f>
        <v>1</v>
      </c>
      <c r="I723" t="str">
        <f>IF(OR(agg_orders_daily_revenue[[#This Row],[Weekday_Num]]=6, agg_orders_daily_revenue[[#This Row],[Weekday_Num]]=7), "Weekend", "Weekday")</f>
        <v>Weekday</v>
      </c>
      <c r="J723" t="str">
        <f>TEXT(agg_orders_daily_revenue[[#This Row],[Order_Date]], "ddd")</f>
        <v>Mon</v>
      </c>
    </row>
    <row r="724" spans="1:10" x14ac:dyDescent="0.4">
      <c r="A724" s="1">
        <v>46014</v>
      </c>
      <c r="B724">
        <v>525300</v>
      </c>
      <c r="C724">
        <v>518211.29</v>
      </c>
      <c r="D724">
        <v>423</v>
      </c>
      <c r="E724">
        <f>YEAR(agg_orders_daily_revenue[[#This Row],[Order_Date]])</f>
        <v>2025</v>
      </c>
      <c r="F724">
        <f>MONTH(agg_orders_daily_revenue[[#This Row],[Order_Date]])</f>
        <v>12</v>
      </c>
      <c r="G724" t="str">
        <f>TEXT(agg_orders_daily_revenue[[#This Row],[Order_Date]],"yyyy-mm")</f>
        <v>2025-12</v>
      </c>
      <c r="H724">
        <f>WEEKDAY(agg_orders_daily_revenue[[#This Row],[Order_Date]],2)</f>
        <v>2</v>
      </c>
      <c r="I724" t="str">
        <f>IF(OR(agg_orders_daily_revenue[[#This Row],[Weekday_Num]]=6, agg_orders_daily_revenue[[#This Row],[Weekday_Num]]=7), "Weekend", "Weekday")</f>
        <v>Weekday</v>
      </c>
      <c r="J724" t="str">
        <f>TEXT(agg_orders_daily_revenue[[#This Row],[Order_Date]], "ddd")</f>
        <v>Tue</v>
      </c>
    </row>
    <row r="725" spans="1:10" x14ac:dyDescent="0.4">
      <c r="A725" s="1">
        <v>46015</v>
      </c>
      <c r="B725">
        <v>537088</v>
      </c>
      <c r="C725">
        <v>520883.14</v>
      </c>
      <c r="D725">
        <v>428</v>
      </c>
      <c r="E725">
        <f>YEAR(agg_orders_daily_revenue[[#This Row],[Order_Date]])</f>
        <v>2025</v>
      </c>
      <c r="F725">
        <f>MONTH(agg_orders_daily_revenue[[#This Row],[Order_Date]])</f>
        <v>12</v>
      </c>
      <c r="G725" t="str">
        <f>TEXT(agg_orders_daily_revenue[[#This Row],[Order_Date]],"yyyy-mm")</f>
        <v>2025-12</v>
      </c>
      <c r="H725">
        <f>WEEKDAY(agg_orders_daily_revenue[[#This Row],[Order_Date]],2)</f>
        <v>3</v>
      </c>
      <c r="I725" t="str">
        <f>IF(OR(agg_orders_daily_revenue[[#This Row],[Weekday_Num]]=6, agg_orders_daily_revenue[[#This Row],[Weekday_Num]]=7), "Weekend", "Weekday")</f>
        <v>Weekday</v>
      </c>
      <c r="J725" t="str">
        <f>TEXT(agg_orders_daily_revenue[[#This Row],[Order_Date]], "ddd")</f>
        <v>Wed</v>
      </c>
    </row>
    <row r="726" spans="1:10" x14ac:dyDescent="0.4">
      <c r="A726" s="1">
        <v>46016</v>
      </c>
      <c r="B726">
        <v>545975</v>
      </c>
      <c r="C726">
        <v>525674</v>
      </c>
      <c r="D726">
        <v>446</v>
      </c>
      <c r="E726">
        <f>YEAR(agg_orders_daily_revenue[[#This Row],[Order_Date]])</f>
        <v>2025</v>
      </c>
      <c r="F726">
        <f>MONTH(agg_orders_daily_revenue[[#This Row],[Order_Date]])</f>
        <v>12</v>
      </c>
      <c r="G726" t="str">
        <f>TEXT(agg_orders_daily_revenue[[#This Row],[Order_Date]],"yyyy-mm")</f>
        <v>2025-12</v>
      </c>
      <c r="H726">
        <f>WEEKDAY(agg_orders_daily_revenue[[#This Row],[Order_Date]],2)</f>
        <v>4</v>
      </c>
      <c r="I726" t="str">
        <f>IF(OR(agg_orders_daily_revenue[[#This Row],[Weekday_Num]]=6, agg_orders_daily_revenue[[#This Row],[Weekday_Num]]=7), "Weekend", "Weekday")</f>
        <v>Weekday</v>
      </c>
      <c r="J726" t="str">
        <f>TEXT(agg_orders_daily_revenue[[#This Row],[Order_Date]], "ddd")</f>
        <v>Thu</v>
      </c>
    </row>
    <row r="727" spans="1:10" x14ac:dyDescent="0.4">
      <c r="A727" s="1">
        <v>46017</v>
      </c>
      <c r="B727">
        <v>546511</v>
      </c>
      <c r="C727">
        <v>535795.14</v>
      </c>
      <c r="D727">
        <v>430</v>
      </c>
      <c r="E727">
        <f>YEAR(agg_orders_daily_revenue[[#This Row],[Order_Date]])</f>
        <v>2025</v>
      </c>
      <c r="F727">
        <f>MONTH(agg_orders_daily_revenue[[#This Row],[Order_Date]])</f>
        <v>12</v>
      </c>
      <c r="G727" t="str">
        <f>TEXT(agg_orders_daily_revenue[[#This Row],[Order_Date]],"yyyy-mm")</f>
        <v>2025-12</v>
      </c>
      <c r="H727">
        <f>WEEKDAY(agg_orders_daily_revenue[[#This Row],[Order_Date]],2)</f>
        <v>5</v>
      </c>
      <c r="I727" t="str">
        <f>IF(OR(agg_orders_daily_revenue[[#This Row],[Weekday_Num]]=6, agg_orders_daily_revenue[[#This Row],[Weekday_Num]]=7), "Weekend", "Weekday")</f>
        <v>Weekday</v>
      </c>
      <c r="J727" t="str">
        <f>TEXT(agg_orders_daily_revenue[[#This Row],[Order_Date]], "ddd")</f>
        <v>Fri</v>
      </c>
    </row>
    <row r="728" spans="1:10" x14ac:dyDescent="0.4">
      <c r="A728" s="1">
        <v>46018</v>
      </c>
      <c r="B728">
        <v>511045</v>
      </c>
      <c r="C728">
        <v>535821.86</v>
      </c>
      <c r="D728">
        <v>421</v>
      </c>
      <c r="E728">
        <f>YEAR(agg_orders_daily_revenue[[#This Row],[Order_Date]])</f>
        <v>2025</v>
      </c>
      <c r="F728">
        <f>MONTH(agg_orders_daily_revenue[[#This Row],[Order_Date]])</f>
        <v>12</v>
      </c>
      <c r="G728" t="str">
        <f>TEXT(agg_orders_daily_revenue[[#This Row],[Order_Date]],"yyyy-mm")</f>
        <v>2025-12</v>
      </c>
      <c r="H728">
        <f>WEEKDAY(agg_orders_daily_revenue[[#This Row],[Order_Date]],2)</f>
        <v>6</v>
      </c>
      <c r="I728" t="str">
        <f>IF(OR(agg_orders_daily_revenue[[#This Row],[Weekday_Num]]=6, agg_orders_daily_revenue[[#This Row],[Weekday_Num]]=7), "Weekend", "Weekday")</f>
        <v>Weekend</v>
      </c>
      <c r="J728" t="str">
        <f>TEXT(agg_orders_daily_revenue[[#This Row],[Order_Date]], "ddd")</f>
        <v>Sat</v>
      </c>
    </row>
    <row r="729" spans="1:10" x14ac:dyDescent="0.4">
      <c r="A729" s="1">
        <v>46019</v>
      </c>
      <c r="B729">
        <v>485485</v>
      </c>
      <c r="C729">
        <v>524905.14</v>
      </c>
      <c r="D729">
        <v>396</v>
      </c>
      <c r="E729">
        <f>YEAR(agg_orders_daily_revenue[[#This Row],[Order_Date]])</f>
        <v>2025</v>
      </c>
      <c r="F729">
        <f>MONTH(agg_orders_daily_revenue[[#This Row],[Order_Date]])</f>
        <v>12</v>
      </c>
      <c r="G729" t="str">
        <f>TEXT(agg_orders_daily_revenue[[#This Row],[Order_Date]],"yyyy-mm")</f>
        <v>2025-12</v>
      </c>
      <c r="H729">
        <f>WEEKDAY(agg_orders_daily_revenue[[#This Row],[Order_Date]],2)</f>
        <v>7</v>
      </c>
      <c r="I729" t="str">
        <f>IF(OR(agg_orders_daily_revenue[[#This Row],[Weekday_Num]]=6, agg_orders_daily_revenue[[#This Row],[Weekday_Num]]=7), "Weekend", "Weekday")</f>
        <v>Weekend</v>
      </c>
      <c r="J729" t="str">
        <f>TEXT(agg_orders_daily_revenue[[#This Row],[Order_Date]], "ddd")</f>
        <v>Sun</v>
      </c>
    </row>
    <row r="730" spans="1:10" x14ac:dyDescent="0.4">
      <c r="A730" s="1">
        <v>46020</v>
      </c>
      <c r="B730">
        <v>528891</v>
      </c>
      <c r="C730">
        <v>525756.43000000005</v>
      </c>
      <c r="D730">
        <v>410</v>
      </c>
      <c r="E730">
        <f>YEAR(agg_orders_daily_revenue[[#This Row],[Order_Date]])</f>
        <v>2025</v>
      </c>
      <c r="F730">
        <f>MONTH(agg_orders_daily_revenue[[#This Row],[Order_Date]])</f>
        <v>12</v>
      </c>
      <c r="G730" t="str">
        <f>TEXT(agg_orders_daily_revenue[[#This Row],[Order_Date]],"yyyy-mm")</f>
        <v>2025-12</v>
      </c>
      <c r="H730">
        <f>WEEKDAY(agg_orders_daily_revenue[[#This Row],[Order_Date]],2)</f>
        <v>1</v>
      </c>
      <c r="I730" t="str">
        <f>IF(OR(agg_orders_daily_revenue[[#This Row],[Weekday_Num]]=6, agg_orders_daily_revenue[[#This Row],[Weekday_Num]]=7), "Weekend", "Weekday")</f>
        <v>Weekday</v>
      </c>
      <c r="J730" t="str">
        <f>TEXT(agg_orders_daily_revenue[[#This Row],[Order_Date]], "ddd")</f>
        <v>Mon</v>
      </c>
    </row>
    <row r="731" spans="1:10" x14ac:dyDescent="0.4">
      <c r="A731" s="1">
        <v>46021</v>
      </c>
      <c r="B731">
        <v>507609</v>
      </c>
      <c r="C731">
        <v>523229.14</v>
      </c>
      <c r="D731">
        <v>422</v>
      </c>
      <c r="E731">
        <f>YEAR(agg_orders_daily_revenue[[#This Row],[Order_Date]])</f>
        <v>2025</v>
      </c>
      <c r="F731">
        <f>MONTH(agg_orders_daily_revenue[[#This Row],[Order_Date]])</f>
        <v>12</v>
      </c>
      <c r="G731" t="str">
        <f>TEXT(agg_orders_daily_revenue[[#This Row],[Order_Date]],"yyyy-mm")</f>
        <v>2025-12</v>
      </c>
      <c r="H731">
        <f>WEEKDAY(agg_orders_daily_revenue[[#This Row],[Order_Date]],2)</f>
        <v>2</v>
      </c>
      <c r="I731" t="str">
        <f>IF(OR(agg_orders_daily_revenue[[#This Row],[Weekday_Num]]=6, agg_orders_daily_revenue[[#This Row],[Weekday_Num]]=7), "Weekend", "Weekday")</f>
        <v>Weekday</v>
      </c>
      <c r="J731" t="str">
        <f>TEXT(agg_orders_daily_revenue[[#This Row],[Order_Date]], "ddd")</f>
        <v>Tue</v>
      </c>
    </row>
    <row r="732" spans="1:10" x14ac:dyDescent="0.4">
      <c r="A732" s="1">
        <v>46022</v>
      </c>
      <c r="B732">
        <v>528880</v>
      </c>
      <c r="C732">
        <v>522056.57</v>
      </c>
      <c r="D732">
        <v>436</v>
      </c>
      <c r="E732">
        <f>YEAR(agg_orders_daily_revenue[[#This Row],[Order_Date]])</f>
        <v>2025</v>
      </c>
      <c r="F732">
        <f>MONTH(agg_orders_daily_revenue[[#This Row],[Order_Date]])</f>
        <v>12</v>
      </c>
      <c r="G732" t="str">
        <f>TEXT(agg_orders_daily_revenue[[#This Row],[Order_Date]],"yyyy-mm")</f>
        <v>2025-12</v>
      </c>
      <c r="H732">
        <f>WEEKDAY(agg_orders_daily_revenue[[#This Row],[Order_Date]],2)</f>
        <v>3</v>
      </c>
      <c r="I732" t="str">
        <f>IF(OR(agg_orders_daily_revenue[[#This Row],[Weekday_Num]]=6, agg_orders_daily_revenue[[#This Row],[Weekday_Num]]=7), "Weekend", "Weekday")</f>
        <v>Weekday</v>
      </c>
      <c r="J732" t="str">
        <f>TEXT(agg_orders_daily_revenue[[#This Row],[Order_Date]], "ddd")</f>
        <v>Wed</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A9E1B-7B07-4BAC-9CEF-D851BC114105}">
  <dimension ref="A1:J42"/>
  <sheetViews>
    <sheetView zoomScale="70" zoomScaleNormal="70" workbookViewId="0">
      <selection activeCell="I36" sqref="I36"/>
    </sheetView>
  </sheetViews>
  <sheetFormatPr defaultRowHeight="13.9" x14ac:dyDescent="0.4"/>
  <cols>
    <col min="1" max="1" width="11.3984375" bestFit="1" customWidth="1"/>
    <col min="2" max="2" width="18.9296875" bestFit="1" customWidth="1"/>
    <col min="3" max="3" width="20.46484375" bestFit="1" customWidth="1"/>
  </cols>
  <sheetData>
    <row r="1" spans="1:3" x14ac:dyDescent="0.4">
      <c r="A1" s="2" t="s">
        <v>31</v>
      </c>
      <c r="B1" t="s">
        <v>63</v>
      </c>
      <c r="C1" t="s">
        <v>62</v>
      </c>
    </row>
    <row r="2" spans="1:3" x14ac:dyDescent="0.4">
      <c r="A2" s="3">
        <v>2024</v>
      </c>
      <c r="B2">
        <v>149765</v>
      </c>
      <c r="C2">
        <v>186808969</v>
      </c>
    </row>
    <row r="3" spans="1:3" x14ac:dyDescent="0.4">
      <c r="A3" s="3">
        <v>2025</v>
      </c>
      <c r="B3">
        <v>149830</v>
      </c>
      <c r="C3">
        <v>186580667</v>
      </c>
    </row>
    <row r="4" spans="1:3" x14ac:dyDescent="0.4">
      <c r="A4" s="3" t="s">
        <v>61</v>
      </c>
      <c r="B4">
        <v>299595</v>
      </c>
      <c r="C4">
        <v>373389636</v>
      </c>
    </row>
    <row r="17" spans="1:3" x14ac:dyDescent="0.4">
      <c r="A17" s="2" t="s">
        <v>34</v>
      </c>
      <c r="B17" t="s">
        <v>62</v>
      </c>
      <c r="C17" t="s">
        <v>67</v>
      </c>
    </row>
    <row r="18" spans="1:3" x14ac:dyDescent="0.4">
      <c r="A18" s="3" t="s">
        <v>37</v>
      </c>
      <c r="B18">
        <v>15767553</v>
      </c>
      <c r="C18">
        <v>15859612.990000002</v>
      </c>
    </row>
    <row r="19" spans="1:3" x14ac:dyDescent="0.4">
      <c r="A19" s="3" t="s">
        <v>38</v>
      </c>
      <c r="B19">
        <v>14736893</v>
      </c>
      <c r="C19">
        <v>14650795.850000001</v>
      </c>
    </row>
    <row r="20" spans="1:3" x14ac:dyDescent="0.4">
      <c r="A20" s="3" t="s">
        <v>39</v>
      </c>
      <c r="B20">
        <v>15825128</v>
      </c>
      <c r="C20">
        <v>15830658.850000001</v>
      </c>
    </row>
    <row r="21" spans="1:3" x14ac:dyDescent="0.4">
      <c r="A21" s="3" t="s">
        <v>40</v>
      </c>
      <c r="B21">
        <v>15262436</v>
      </c>
      <c r="C21">
        <v>15351509.43</v>
      </c>
    </row>
    <row r="22" spans="1:3" x14ac:dyDescent="0.4">
      <c r="A22" s="3" t="s">
        <v>41</v>
      </c>
      <c r="B22">
        <v>15726187</v>
      </c>
      <c r="C22">
        <v>15645100.43</v>
      </c>
    </row>
    <row r="23" spans="1:3" x14ac:dyDescent="0.4">
      <c r="A23" s="3" t="s">
        <v>42</v>
      </c>
      <c r="B23">
        <v>15361932</v>
      </c>
      <c r="C23">
        <v>15342647.280000003</v>
      </c>
    </row>
    <row r="24" spans="1:3" x14ac:dyDescent="0.4">
      <c r="A24" s="3" t="s">
        <v>43</v>
      </c>
      <c r="B24">
        <v>15995406</v>
      </c>
      <c r="C24">
        <v>16097496.260000002</v>
      </c>
    </row>
    <row r="25" spans="1:3" x14ac:dyDescent="0.4">
      <c r="A25" s="3" t="s">
        <v>44</v>
      </c>
      <c r="B25">
        <v>16011404</v>
      </c>
      <c r="C25">
        <v>15950733.120000001</v>
      </c>
    </row>
    <row r="26" spans="1:3" x14ac:dyDescent="0.4">
      <c r="A26" s="3" t="s">
        <v>45</v>
      </c>
      <c r="B26">
        <v>15248803</v>
      </c>
      <c r="C26">
        <v>15258834.139999999</v>
      </c>
    </row>
    <row r="27" spans="1:3" x14ac:dyDescent="0.4">
      <c r="A27" s="3" t="s">
        <v>46</v>
      </c>
      <c r="B27">
        <v>15891827</v>
      </c>
      <c r="C27">
        <v>15853807.709999997</v>
      </c>
    </row>
    <row r="28" spans="1:3" x14ac:dyDescent="0.4">
      <c r="A28" s="3" t="s">
        <v>47</v>
      </c>
      <c r="B28">
        <v>15284669</v>
      </c>
      <c r="C28">
        <v>15325356.159999998</v>
      </c>
    </row>
    <row r="29" spans="1:3" x14ac:dyDescent="0.4">
      <c r="A29" s="3" t="s">
        <v>48</v>
      </c>
      <c r="B29">
        <v>15696731</v>
      </c>
      <c r="C29">
        <v>15721974.289999995</v>
      </c>
    </row>
    <row r="30" spans="1:3" x14ac:dyDescent="0.4">
      <c r="A30" s="3" t="s">
        <v>49</v>
      </c>
      <c r="B30">
        <v>15703282</v>
      </c>
      <c r="C30">
        <v>15756897.990000002</v>
      </c>
    </row>
    <row r="31" spans="1:3" x14ac:dyDescent="0.4">
      <c r="A31" s="3" t="s">
        <v>50</v>
      </c>
      <c r="B31">
        <v>14289832</v>
      </c>
      <c r="C31">
        <v>14164620.120000001</v>
      </c>
    </row>
    <row r="32" spans="1:3" x14ac:dyDescent="0.4">
      <c r="A32" s="3" t="s">
        <v>51</v>
      </c>
      <c r="B32">
        <v>16005941</v>
      </c>
      <c r="C32">
        <v>15998393.82</v>
      </c>
    </row>
    <row r="33" spans="1:10" x14ac:dyDescent="0.4">
      <c r="A33" s="3" t="s">
        <v>52</v>
      </c>
      <c r="B33">
        <v>15263784</v>
      </c>
      <c r="C33">
        <v>15284999.709999997</v>
      </c>
    </row>
    <row r="34" spans="1:10" x14ac:dyDescent="0.4">
      <c r="A34" s="3" t="s">
        <v>53</v>
      </c>
      <c r="B34">
        <v>15728019</v>
      </c>
      <c r="C34">
        <v>15776853.830000002</v>
      </c>
    </row>
    <row r="35" spans="1:10" x14ac:dyDescent="0.4">
      <c r="A35" s="3" t="s">
        <v>54</v>
      </c>
      <c r="B35">
        <v>15327545</v>
      </c>
      <c r="C35">
        <v>15323937.01</v>
      </c>
    </row>
    <row r="36" spans="1:10" x14ac:dyDescent="0.4">
      <c r="A36" s="3" t="s">
        <v>55</v>
      </c>
      <c r="B36">
        <v>15847679</v>
      </c>
      <c r="C36">
        <v>15823776.159999998</v>
      </c>
    </row>
    <row r="37" spans="1:10" x14ac:dyDescent="0.4">
      <c r="A37" s="3" t="s">
        <v>56</v>
      </c>
      <c r="B37">
        <v>15880968</v>
      </c>
      <c r="C37">
        <v>15918642.430000002</v>
      </c>
    </row>
    <row r="38" spans="1:10" x14ac:dyDescent="0.4">
      <c r="A38" s="3" t="s">
        <v>57</v>
      </c>
      <c r="B38">
        <v>15274213</v>
      </c>
      <c r="C38">
        <v>15241109.140000001</v>
      </c>
    </row>
    <row r="39" spans="1:10" x14ac:dyDescent="0.4">
      <c r="A39" s="3" t="s">
        <v>58</v>
      </c>
      <c r="B39">
        <v>15735593</v>
      </c>
      <c r="C39">
        <v>15725991.420000002</v>
      </c>
      <c r="J39" t="s">
        <v>92</v>
      </c>
    </row>
    <row r="40" spans="1:10" x14ac:dyDescent="0.4">
      <c r="A40" s="3" t="s">
        <v>59</v>
      </c>
      <c r="B40">
        <v>15335526</v>
      </c>
      <c r="C40">
        <v>15336978.560000002</v>
      </c>
    </row>
    <row r="41" spans="1:10" x14ac:dyDescent="0.4">
      <c r="A41" s="3" t="s">
        <v>60</v>
      </c>
      <c r="B41">
        <v>16188285</v>
      </c>
      <c r="C41">
        <v>16173683</v>
      </c>
    </row>
    <row r="42" spans="1:10" x14ac:dyDescent="0.4">
      <c r="A42" s="3" t="s">
        <v>61</v>
      </c>
      <c r="B42">
        <v>373389636</v>
      </c>
      <c r="C42">
        <v>373414409.70000011</v>
      </c>
    </row>
  </sheetData>
  <phoneticPr fontId="1" type="noConversion"/>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FE30-B712-4A71-8156-C49BCE636853}">
  <dimension ref="A1:B26"/>
  <sheetViews>
    <sheetView workbookViewId="0">
      <selection activeCell="L26" sqref="L26"/>
    </sheetView>
  </sheetViews>
  <sheetFormatPr defaultRowHeight="13.9" x14ac:dyDescent="0.4"/>
  <cols>
    <col min="1" max="1" width="13.1328125" bestFit="1" customWidth="1"/>
    <col min="2" max="2" width="23.86328125" bestFit="1" customWidth="1"/>
  </cols>
  <sheetData>
    <row r="1" spans="1:2" x14ac:dyDescent="0.4">
      <c r="A1" s="2" t="s">
        <v>36</v>
      </c>
      <c r="B1" t="s">
        <v>68</v>
      </c>
    </row>
    <row r="2" spans="1:2" x14ac:dyDescent="0.4">
      <c r="A2" s="3" t="s">
        <v>65</v>
      </c>
      <c r="B2">
        <v>511761.68833652005</v>
      </c>
    </row>
    <row r="3" spans="1:2" x14ac:dyDescent="0.4">
      <c r="A3" s="3" t="s">
        <v>66</v>
      </c>
      <c r="B3">
        <v>508357.08173076925</v>
      </c>
    </row>
    <row r="4" spans="1:2" x14ac:dyDescent="0.4">
      <c r="A4" s="3" t="s">
        <v>61</v>
      </c>
      <c r="B4">
        <v>510792.93570451438</v>
      </c>
    </row>
    <row r="18" spans="1:2" x14ac:dyDescent="0.4">
      <c r="A18" s="2" t="s">
        <v>36</v>
      </c>
      <c r="B18" t="s">
        <v>68</v>
      </c>
    </row>
    <row r="19" spans="1:2" x14ac:dyDescent="0.4">
      <c r="A19" s="3" t="s">
        <v>70</v>
      </c>
      <c r="B19">
        <v>507729.33653846156</v>
      </c>
    </row>
    <row r="20" spans="1:2" x14ac:dyDescent="0.4">
      <c r="A20" s="3" t="s">
        <v>71</v>
      </c>
      <c r="B20">
        <v>514528.48571428569</v>
      </c>
    </row>
    <row r="21" spans="1:2" x14ac:dyDescent="0.4">
      <c r="A21" s="3" t="s">
        <v>72</v>
      </c>
      <c r="B21">
        <v>509704.42857142858</v>
      </c>
    </row>
    <row r="22" spans="1:2" x14ac:dyDescent="0.4">
      <c r="A22" s="3" t="s">
        <v>73</v>
      </c>
      <c r="B22">
        <v>508456.17142857146</v>
      </c>
    </row>
    <row r="23" spans="1:2" x14ac:dyDescent="0.4">
      <c r="A23" s="3" t="s">
        <v>74</v>
      </c>
      <c r="B23">
        <v>512196.61538461538</v>
      </c>
    </row>
    <row r="24" spans="1:2" x14ac:dyDescent="0.4">
      <c r="A24" s="3" t="s">
        <v>75</v>
      </c>
      <c r="B24">
        <v>513947.70192307694</v>
      </c>
    </row>
    <row r="25" spans="1:2" x14ac:dyDescent="0.4">
      <c r="A25" s="3" t="s">
        <v>76</v>
      </c>
      <c r="B25">
        <v>508984.82692307694</v>
      </c>
    </row>
    <row r="26" spans="1:2" x14ac:dyDescent="0.4">
      <c r="A26" s="3" t="s">
        <v>61</v>
      </c>
      <c r="B26">
        <v>510792.93570451438</v>
      </c>
    </row>
  </sheetData>
  <phoneticPr fontId="1" type="noConversion"/>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442C-B851-40DD-91AE-164A330EE2FD}">
  <dimension ref="A1:J25"/>
  <sheetViews>
    <sheetView workbookViewId="0">
      <selection activeCell="J15" sqref="J15"/>
    </sheetView>
  </sheetViews>
  <sheetFormatPr defaultRowHeight="13.9" x14ac:dyDescent="0.4"/>
  <cols>
    <col min="1" max="1" width="13.265625" style="4" bestFit="1" customWidth="1"/>
    <col min="2" max="2" width="9.1328125" style="4" customWidth="1"/>
    <col min="3" max="3" width="10.265625" customWidth="1"/>
    <col min="4" max="4" width="6.33203125" customWidth="1"/>
    <col min="5" max="5" width="7.1328125" customWidth="1"/>
    <col min="6" max="6" width="13.9296875" bestFit="1" customWidth="1"/>
    <col min="7" max="7" width="7.1328125" bestFit="1" customWidth="1"/>
    <col min="8" max="8" width="9.1328125" bestFit="1" customWidth="1"/>
    <col min="9" max="9" width="9" bestFit="1" customWidth="1"/>
    <col min="10" max="10" width="17.73046875" customWidth="1"/>
  </cols>
  <sheetData>
    <row r="1" spans="1:10" x14ac:dyDescent="0.4">
      <c r="A1" s="4" t="s">
        <v>80</v>
      </c>
      <c r="B1" s="4" t="s">
        <v>35</v>
      </c>
      <c r="C1" t="s">
        <v>10</v>
      </c>
      <c r="D1" t="s">
        <v>77</v>
      </c>
      <c r="E1" t="s">
        <v>78</v>
      </c>
      <c r="F1" t="s">
        <v>3</v>
      </c>
      <c r="G1" t="s">
        <v>32</v>
      </c>
      <c r="H1" t="s">
        <v>33</v>
      </c>
      <c r="I1" t="s">
        <v>79</v>
      </c>
      <c r="J1" t="s">
        <v>81</v>
      </c>
    </row>
    <row r="2" spans="1:10" x14ac:dyDescent="0.4">
      <c r="A2" s="4">
        <v>45292</v>
      </c>
      <c r="B2" s="4" t="str">
        <f>TEXT(agg_orders_monthly_revenue[[#This Row],[Order_Date]], "yyyy-mm")</f>
        <v>2024-01</v>
      </c>
      <c r="C2">
        <v>15767553</v>
      </c>
      <c r="E2" t="str">
        <f>IFERROR(
    ROUND(
        (agg_orders_monthly_revenue[[#This Row],[monthly_revenue]] - agg_orders_monthly_revenue[[#This Row],[LastYearRevenue]]) / agg_orders_monthly_revenue[[#This Row],[LastYearRevenue]],
        2
    ),
    ""
)</f>
        <v/>
      </c>
      <c r="F2">
        <v>12634</v>
      </c>
      <c r="G2">
        <f>YEAR(agg_orders_monthly_revenue[[#This Row],[Order_Date]])</f>
        <v>2024</v>
      </c>
      <c r="H2">
        <f>MONTH(agg_orders_monthly_revenue[[#This Row],[Order_Date]])</f>
        <v>1</v>
      </c>
      <c r="I2">
        <f>EDATE(agg_orders_monthly_revenue[[#This Row],[Order_Date]], -12)</f>
        <v>44927</v>
      </c>
      <c r="J2">
        <f>SUMIFS(
    agg_orders_monthly_revenue[monthly_revenue],
    agg_orders_monthly_revenue[Year], agg_orders_monthly_revenue[[#This Row],[Year]] - 1,
    agg_orders_monthly_revenue[Month], agg_orders_monthly_revenue[[#This Row],[Month]]
)</f>
        <v>0</v>
      </c>
    </row>
    <row r="3" spans="1:10" x14ac:dyDescent="0.4">
      <c r="A3" s="4">
        <v>45323</v>
      </c>
      <c r="B3" s="4" t="str">
        <f>TEXT(agg_orders_monthly_revenue[[#This Row],[Order_Date]], "yyyy-mm")</f>
        <v>2024-02</v>
      </c>
      <c r="C3">
        <v>14736893</v>
      </c>
      <c r="D3">
        <v>-6.54</v>
      </c>
      <c r="E3" t="str">
        <f>IFERROR(
    ROUND(
        (agg_orders_monthly_revenue[[#This Row],[monthly_revenue]] - agg_orders_monthly_revenue[[#This Row],[LastYearRevenue]]) / agg_orders_monthly_revenue[[#This Row],[LastYearRevenue]],
        2
    ),
    ""
)</f>
        <v/>
      </c>
      <c r="F3">
        <v>11813</v>
      </c>
      <c r="G3">
        <f>YEAR(agg_orders_monthly_revenue[[#This Row],[Order_Date]])</f>
        <v>2024</v>
      </c>
      <c r="H3">
        <f>MONTH(agg_orders_monthly_revenue[[#This Row],[Order_Date]])</f>
        <v>2</v>
      </c>
      <c r="I3">
        <f>EDATE(agg_orders_monthly_revenue[[#This Row],[Order_Date]], -12)</f>
        <v>44958</v>
      </c>
      <c r="J3">
        <f>SUMIFS(
    agg_orders_monthly_revenue[monthly_revenue],
    agg_orders_monthly_revenue[Year], agg_orders_monthly_revenue[[#This Row],[Year]] - 1,
    agg_orders_monthly_revenue[Month], agg_orders_monthly_revenue[[#This Row],[Month]]
)</f>
        <v>0</v>
      </c>
    </row>
    <row r="4" spans="1:10" x14ac:dyDescent="0.4">
      <c r="A4" s="4">
        <v>45352</v>
      </c>
      <c r="B4" s="4" t="str">
        <f>TEXT(agg_orders_monthly_revenue[[#This Row],[Order_Date]], "yyyy-mm")</f>
        <v>2024-03</v>
      </c>
      <c r="C4">
        <v>15825128</v>
      </c>
      <c r="D4">
        <v>7.38</v>
      </c>
      <c r="E4" t="str">
        <f>IFERROR(
    ROUND(
        (agg_orders_monthly_revenue[[#This Row],[monthly_revenue]] - agg_orders_monthly_revenue[[#This Row],[LastYearRevenue]]) / agg_orders_monthly_revenue[[#This Row],[LastYearRevenue]],
        2
    ),
    ""
)</f>
        <v/>
      </c>
      <c r="F4">
        <v>12708</v>
      </c>
      <c r="G4">
        <f>YEAR(agg_orders_monthly_revenue[[#This Row],[Order_Date]])</f>
        <v>2024</v>
      </c>
      <c r="H4">
        <f>MONTH(agg_orders_monthly_revenue[[#This Row],[Order_Date]])</f>
        <v>3</v>
      </c>
      <c r="I4">
        <f>EDATE(agg_orders_monthly_revenue[[#This Row],[Order_Date]], -12)</f>
        <v>44986</v>
      </c>
      <c r="J4">
        <f>SUMIFS(
    agg_orders_monthly_revenue[monthly_revenue],
    agg_orders_monthly_revenue[Year], agg_orders_monthly_revenue[[#This Row],[Year]] - 1,
    agg_orders_monthly_revenue[Month], agg_orders_monthly_revenue[[#This Row],[Month]]
)</f>
        <v>0</v>
      </c>
    </row>
    <row r="5" spans="1:10" x14ac:dyDescent="0.4">
      <c r="A5" s="4">
        <v>45383</v>
      </c>
      <c r="B5" s="4" t="str">
        <f>TEXT(agg_orders_monthly_revenue[[#This Row],[Order_Date]], "yyyy-mm")</f>
        <v>2024-04</v>
      </c>
      <c r="C5">
        <v>15262436</v>
      </c>
      <c r="D5">
        <v>-3.56</v>
      </c>
      <c r="E5" t="str">
        <f>IFERROR(
    ROUND(
        (agg_orders_monthly_revenue[[#This Row],[monthly_revenue]] - agg_orders_monthly_revenue[[#This Row],[LastYearRevenue]]) / agg_orders_monthly_revenue[[#This Row],[LastYearRevenue]],
        2
    ),
    ""
)</f>
        <v/>
      </c>
      <c r="F5">
        <v>12152</v>
      </c>
      <c r="G5">
        <f>YEAR(agg_orders_monthly_revenue[[#This Row],[Order_Date]])</f>
        <v>2024</v>
      </c>
      <c r="H5">
        <f>MONTH(agg_orders_monthly_revenue[[#This Row],[Order_Date]])</f>
        <v>4</v>
      </c>
      <c r="I5">
        <f>EDATE(agg_orders_monthly_revenue[[#This Row],[Order_Date]], -12)</f>
        <v>45017</v>
      </c>
      <c r="J5">
        <f>SUMIFS(
    agg_orders_monthly_revenue[monthly_revenue],
    agg_orders_monthly_revenue[Year], agg_orders_monthly_revenue[[#This Row],[Year]] - 1,
    agg_orders_monthly_revenue[Month], agg_orders_monthly_revenue[[#This Row],[Month]]
)</f>
        <v>0</v>
      </c>
    </row>
    <row r="6" spans="1:10" x14ac:dyDescent="0.4">
      <c r="A6" s="4">
        <v>45413</v>
      </c>
      <c r="B6" s="4" t="str">
        <f>TEXT(agg_orders_monthly_revenue[[#This Row],[Order_Date]], "yyyy-mm")</f>
        <v>2024-05</v>
      </c>
      <c r="C6">
        <v>15726187</v>
      </c>
      <c r="D6">
        <v>3.04</v>
      </c>
      <c r="E6" t="str">
        <f>IFERROR(
    ROUND(
        (agg_orders_monthly_revenue[[#This Row],[monthly_revenue]] - agg_orders_monthly_revenue[[#This Row],[LastYearRevenue]]) / agg_orders_monthly_revenue[[#This Row],[LastYearRevenue]],
        2
    ),
    ""
)</f>
        <v/>
      </c>
      <c r="F6">
        <v>12705</v>
      </c>
      <c r="G6">
        <f>YEAR(agg_orders_monthly_revenue[[#This Row],[Order_Date]])</f>
        <v>2024</v>
      </c>
      <c r="H6">
        <f>MONTH(agg_orders_monthly_revenue[[#This Row],[Order_Date]])</f>
        <v>5</v>
      </c>
      <c r="I6">
        <f>EDATE(agg_orders_monthly_revenue[[#This Row],[Order_Date]], -12)</f>
        <v>45047</v>
      </c>
      <c r="J6">
        <f>SUMIFS(
    agg_orders_monthly_revenue[monthly_revenue],
    agg_orders_monthly_revenue[Year], agg_orders_monthly_revenue[[#This Row],[Year]] - 1,
    agg_orders_monthly_revenue[Month], agg_orders_monthly_revenue[[#This Row],[Month]]
)</f>
        <v>0</v>
      </c>
    </row>
    <row r="7" spans="1:10" x14ac:dyDescent="0.4">
      <c r="A7" s="4">
        <v>45444</v>
      </c>
      <c r="B7" s="4" t="str">
        <f>TEXT(agg_orders_monthly_revenue[[#This Row],[Order_Date]], "yyyy-mm")</f>
        <v>2024-06</v>
      </c>
      <c r="C7">
        <v>15361932</v>
      </c>
      <c r="D7">
        <v>-2.3199999999999998</v>
      </c>
      <c r="E7" t="str">
        <f>IFERROR(
    ROUND(
        (agg_orders_monthly_revenue[[#This Row],[monthly_revenue]] - agg_orders_monthly_revenue[[#This Row],[LastYearRevenue]]) / agg_orders_monthly_revenue[[#This Row],[LastYearRevenue]],
        2
    ),
    ""
)</f>
        <v/>
      </c>
      <c r="F7">
        <v>12311</v>
      </c>
      <c r="G7">
        <f>YEAR(agg_orders_monthly_revenue[[#This Row],[Order_Date]])</f>
        <v>2024</v>
      </c>
      <c r="H7">
        <f>MONTH(agg_orders_monthly_revenue[[#This Row],[Order_Date]])</f>
        <v>6</v>
      </c>
      <c r="I7">
        <f>EDATE(agg_orders_monthly_revenue[[#This Row],[Order_Date]], -12)</f>
        <v>45078</v>
      </c>
      <c r="J7">
        <f>SUMIFS(
    agg_orders_monthly_revenue[monthly_revenue],
    agg_orders_monthly_revenue[Year], agg_orders_monthly_revenue[[#This Row],[Year]] - 1,
    agg_orders_monthly_revenue[Month], agg_orders_monthly_revenue[[#This Row],[Month]]
)</f>
        <v>0</v>
      </c>
    </row>
    <row r="8" spans="1:10" x14ac:dyDescent="0.4">
      <c r="A8" s="4">
        <v>45474</v>
      </c>
      <c r="B8" s="4" t="str">
        <f>TEXT(agg_orders_monthly_revenue[[#This Row],[Order_Date]], "yyyy-mm")</f>
        <v>2024-07</v>
      </c>
      <c r="C8">
        <v>15995406</v>
      </c>
      <c r="D8">
        <v>4.12</v>
      </c>
      <c r="E8" t="str">
        <f>IFERROR(
    ROUND(
        (agg_orders_monthly_revenue[[#This Row],[monthly_revenue]] - agg_orders_monthly_revenue[[#This Row],[LastYearRevenue]]) / agg_orders_monthly_revenue[[#This Row],[LastYearRevenue]],
        2
    ),
    ""
)</f>
        <v/>
      </c>
      <c r="F8">
        <v>12742</v>
      </c>
      <c r="G8">
        <f>YEAR(agg_orders_monthly_revenue[[#This Row],[Order_Date]])</f>
        <v>2024</v>
      </c>
      <c r="H8">
        <f>MONTH(agg_orders_monthly_revenue[[#This Row],[Order_Date]])</f>
        <v>7</v>
      </c>
      <c r="I8">
        <f>EDATE(agg_orders_monthly_revenue[[#This Row],[Order_Date]], -12)</f>
        <v>45108</v>
      </c>
      <c r="J8">
        <f>SUMIFS(
    agg_orders_monthly_revenue[monthly_revenue],
    agg_orders_monthly_revenue[Year], agg_orders_monthly_revenue[[#This Row],[Year]] - 1,
    agg_orders_monthly_revenue[Month], agg_orders_monthly_revenue[[#This Row],[Month]]
)</f>
        <v>0</v>
      </c>
    </row>
    <row r="9" spans="1:10" x14ac:dyDescent="0.4">
      <c r="A9" s="4">
        <v>45505</v>
      </c>
      <c r="B9" s="4" t="str">
        <f>TEXT(agg_orders_monthly_revenue[[#This Row],[Order_Date]], "yyyy-mm")</f>
        <v>2024-08</v>
      </c>
      <c r="C9">
        <v>16011404</v>
      </c>
      <c r="D9">
        <v>0.1</v>
      </c>
      <c r="E9" t="str">
        <f>IFERROR(
    ROUND(
        (agg_orders_monthly_revenue[[#This Row],[monthly_revenue]] - agg_orders_monthly_revenue[[#This Row],[LastYearRevenue]]) / agg_orders_monthly_revenue[[#This Row],[LastYearRevenue]],
        2
    ),
    ""
)</f>
        <v/>
      </c>
      <c r="F9">
        <v>12818</v>
      </c>
      <c r="G9">
        <f>YEAR(agg_orders_monthly_revenue[[#This Row],[Order_Date]])</f>
        <v>2024</v>
      </c>
      <c r="H9">
        <f>MONTH(agg_orders_monthly_revenue[[#This Row],[Order_Date]])</f>
        <v>8</v>
      </c>
      <c r="I9">
        <f>EDATE(agg_orders_monthly_revenue[[#This Row],[Order_Date]], -12)</f>
        <v>45139</v>
      </c>
      <c r="J9">
        <f>SUMIFS(
    agg_orders_monthly_revenue[monthly_revenue],
    agg_orders_monthly_revenue[Year], agg_orders_monthly_revenue[[#This Row],[Year]] - 1,
    agg_orders_monthly_revenue[Month], agg_orders_monthly_revenue[[#This Row],[Month]]
)</f>
        <v>0</v>
      </c>
    </row>
    <row r="10" spans="1:10" x14ac:dyDescent="0.4">
      <c r="A10" s="4">
        <v>45536</v>
      </c>
      <c r="B10" s="4" t="str">
        <f>TEXT(agg_orders_monthly_revenue[[#This Row],[Order_Date]], "yyyy-mm")</f>
        <v>2024-09</v>
      </c>
      <c r="C10">
        <v>15248803</v>
      </c>
      <c r="D10">
        <v>-4.76</v>
      </c>
      <c r="E10" t="str">
        <f>IFERROR(
    ROUND(
        (agg_orders_monthly_revenue[[#This Row],[monthly_revenue]] - agg_orders_monthly_revenue[[#This Row],[LastYearRevenue]]) / agg_orders_monthly_revenue[[#This Row],[LastYearRevenue]],
        2
    ),
    ""
)</f>
        <v/>
      </c>
      <c r="F10">
        <v>12243</v>
      </c>
      <c r="G10">
        <f>YEAR(agg_orders_monthly_revenue[[#This Row],[Order_Date]])</f>
        <v>2024</v>
      </c>
      <c r="H10">
        <f>MONTH(agg_orders_monthly_revenue[[#This Row],[Order_Date]])</f>
        <v>9</v>
      </c>
      <c r="I10">
        <f>EDATE(agg_orders_monthly_revenue[[#This Row],[Order_Date]], -12)</f>
        <v>45170</v>
      </c>
      <c r="J10">
        <f>SUMIFS(
    agg_orders_monthly_revenue[monthly_revenue],
    agg_orders_monthly_revenue[Year], agg_orders_monthly_revenue[[#This Row],[Year]] - 1,
    agg_orders_monthly_revenue[Month], agg_orders_monthly_revenue[[#This Row],[Month]]
)</f>
        <v>0</v>
      </c>
    </row>
    <row r="11" spans="1:10" x14ac:dyDescent="0.4">
      <c r="A11" s="4">
        <v>45566</v>
      </c>
      <c r="B11" s="4" t="str">
        <f>TEXT(agg_orders_monthly_revenue[[#This Row],[Order_Date]], "yyyy-mm")</f>
        <v>2024-10</v>
      </c>
      <c r="C11">
        <v>15891827</v>
      </c>
      <c r="D11">
        <v>4.22</v>
      </c>
      <c r="E11" t="str">
        <f>IFERROR(
    ROUND(
        (agg_orders_monthly_revenue[[#This Row],[monthly_revenue]] - agg_orders_monthly_revenue[[#This Row],[LastYearRevenue]]) / agg_orders_monthly_revenue[[#This Row],[LastYearRevenue]],
        2
    ),
    ""
)</f>
        <v/>
      </c>
      <c r="F11">
        <v>12706</v>
      </c>
      <c r="G11">
        <f>YEAR(agg_orders_monthly_revenue[[#This Row],[Order_Date]])</f>
        <v>2024</v>
      </c>
      <c r="H11">
        <f>MONTH(agg_orders_monthly_revenue[[#This Row],[Order_Date]])</f>
        <v>10</v>
      </c>
      <c r="I11">
        <f>EDATE(agg_orders_monthly_revenue[[#This Row],[Order_Date]], -12)</f>
        <v>45200</v>
      </c>
      <c r="J11">
        <f>SUMIFS(
    agg_orders_monthly_revenue[monthly_revenue],
    agg_orders_monthly_revenue[Year], agg_orders_monthly_revenue[[#This Row],[Year]] - 1,
    agg_orders_monthly_revenue[Month], agg_orders_monthly_revenue[[#This Row],[Month]]
)</f>
        <v>0</v>
      </c>
    </row>
    <row r="12" spans="1:10" x14ac:dyDescent="0.4">
      <c r="A12" s="4">
        <v>45597</v>
      </c>
      <c r="B12" s="4" t="str">
        <f>TEXT(agg_orders_monthly_revenue[[#This Row],[Order_Date]], "yyyy-mm")</f>
        <v>2024-11</v>
      </c>
      <c r="C12">
        <v>15284669</v>
      </c>
      <c r="D12">
        <v>-3.82</v>
      </c>
      <c r="E12" t="str">
        <f>IFERROR(
    ROUND(
        (agg_orders_monthly_revenue[[#This Row],[monthly_revenue]] - agg_orders_monthly_revenue[[#This Row],[LastYearRevenue]]) / agg_orders_monthly_revenue[[#This Row],[LastYearRevenue]],
        2
    ),
    ""
)</f>
        <v/>
      </c>
      <c r="F12">
        <v>12300</v>
      </c>
      <c r="G12">
        <f>YEAR(agg_orders_monthly_revenue[[#This Row],[Order_Date]])</f>
        <v>2024</v>
      </c>
      <c r="H12">
        <f>MONTH(agg_orders_monthly_revenue[[#This Row],[Order_Date]])</f>
        <v>11</v>
      </c>
      <c r="I12">
        <f>EDATE(agg_orders_monthly_revenue[[#This Row],[Order_Date]], -12)</f>
        <v>45231</v>
      </c>
      <c r="J12">
        <f>SUMIFS(
    agg_orders_monthly_revenue[monthly_revenue],
    agg_orders_monthly_revenue[Year], agg_orders_monthly_revenue[[#This Row],[Year]] - 1,
    agg_orders_monthly_revenue[Month], agg_orders_monthly_revenue[[#This Row],[Month]]
)</f>
        <v>0</v>
      </c>
    </row>
    <row r="13" spans="1:10" x14ac:dyDescent="0.4">
      <c r="A13" s="4">
        <v>45627</v>
      </c>
      <c r="B13" s="4" t="str">
        <f>TEXT(agg_orders_monthly_revenue[[#This Row],[Order_Date]], "yyyy-mm")</f>
        <v>2024-12</v>
      </c>
      <c r="C13">
        <v>15696731</v>
      </c>
      <c r="D13">
        <v>2.7</v>
      </c>
      <c r="E13" t="str">
        <f>IFERROR(
    ROUND(
        (agg_orders_monthly_revenue[[#This Row],[monthly_revenue]] - agg_orders_monthly_revenue[[#This Row],[LastYearRevenue]]) / agg_orders_monthly_revenue[[#This Row],[LastYearRevenue]],
        2
    ),
    ""
)</f>
        <v/>
      </c>
      <c r="F13">
        <v>12633</v>
      </c>
      <c r="G13">
        <f>YEAR(agg_orders_monthly_revenue[[#This Row],[Order_Date]])</f>
        <v>2024</v>
      </c>
      <c r="H13">
        <f>MONTH(agg_orders_monthly_revenue[[#This Row],[Order_Date]])</f>
        <v>12</v>
      </c>
      <c r="I13">
        <f>EDATE(agg_orders_monthly_revenue[[#This Row],[Order_Date]], -12)</f>
        <v>45261</v>
      </c>
      <c r="J13">
        <f>SUMIFS(
    agg_orders_monthly_revenue[monthly_revenue],
    agg_orders_monthly_revenue[Year], agg_orders_monthly_revenue[[#This Row],[Year]] - 1,
    agg_orders_monthly_revenue[Month], agg_orders_monthly_revenue[[#This Row],[Month]]
)</f>
        <v>0</v>
      </c>
    </row>
    <row r="14" spans="1:10" x14ac:dyDescent="0.4">
      <c r="A14" s="4">
        <v>45658</v>
      </c>
      <c r="B14" s="4" t="str">
        <f>TEXT(agg_orders_monthly_revenue[[#This Row],[Order_Date]], "yyyy-mm")</f>
        <v>2025-01</v>
      </c>
      <c r="C14">
        <v>15703282</v>
      </c>
      <c r="D14">
        <v>0.04</v>
      </c>
      <c r="E14" t="str">
        <f>IFERROR(
    ROUND(
        (agg_orders_monthly_revenue[[#This Row],[monthly_revenue]] - agg_orders_monthly_revenue[[#This Row],[LastYearRevenue]]) / agg_orders_monthly_revenue[[#This Row],[LastYearRevenue]],
        2
    ),
    ""
)</f>
        <v/>
      </c>
      <c r="F14">
        <v>12604</v>
      </c>
      <c r="G14">
        <f>YEAR(agg_orders_monthly_revenue[[#This Row],[Order_Date]])</f>
        <v>2025</v>
      </c>
      <c r="H14">
        <f>MONTH(agg_orders_monthly_revenue[[#This Row],[Order_Date]])</f>
        <v>1</v>
      </c>
      <c r="I14">
        <f>EDATE(agg_orders_monthly_revenue[[#This Row],[Order_Date]], -12)</f>
        <v>45292</v>
      </c>
      <c r="J14">
        <f>K16</f>
        <v>0</v>
      </c>
    </row>
    <row r="15" spans="1:10" x14ac:dyDescent="0.4">
      <c r="A15" s="4">
        <v>45689</v>
      </c>
      <c r="B15" s="4" t="str">
        <f>TEXT(agg_orders_monthly_revenue[[#This Row],[Order_Date]], "yyyy-mm")</f>
        <v>2025-02</v>
      </c>
      <c r="C15">
        <v>14289832</v>
      </c>
      <c r="D15">
        <v>-9</v>
      </c>
      <c r="E15">
        <f>IFERROR(
    ROUND(
        (agg_orders_monthly_revenue[[#This Row],[monthly_revenue]] - agg_orders_monthly_revenue[[#This Row],[LastYearRevenue]]) / agg_orders_monthly_revenue[[#This Row],[LastYearRevenue]],
        2
    ),
    ""
)</f>
        <v>-0.03</v>
      </c>
      <c r="F15">
        <v>11431</v>
      </c>
      <c r="G15">
        <f>YEAR(agg_orders_monthly_revenue[[#This Row],[Order_Date]])</f>
        <v>2025</v>
      </c>
      <c r="H15">
        <f>MONTH(agg_orders_monthly_revenue[[#This Row],[Order_Date]])</f>
        <v>2</v>
      </c>
      <c r="I15">
        <f>EDATE(agg_orders_monthly_revenue[[#This Row],[Order_Date]], -12)</f>
        <v>45323</v>
      </c>
      <c r="J15">
        <f>SUMIFS(
    agg_orders_monthly_revenue[monthly_revenue],
    agg_orders_monthly_revenue[Year], agg_orders_monthly_revenue[[#This Row],[Year]] - 1,
    agg_orders_monthly_revenue[Month], agg_orders_monthly_revenue[[#This Row],[Month]]
)</f>
        <v>14736893</v>
      </c>
    </row>
    <row r="16" spans="1:10" x14ac:dyDescent="0.4">
      <c r="A16" s="4">
        <v>45717</v>
      </c>
      <c r="B16" s="4" t="str">
        <f>TEXT(agg_orders_monthly_revenue[[#This Row],[Order_Date]], "yyyy-mm")</f>
        <v>2025-03</v>
      </c>
      <c r="C16">
        <v>16005941</v>
      </c>
      <c r="D16">
        <v>12.01</v>
      </c>
      <c r="E16">
        <f>IFERROR(
    ROUND(
        (agg_orders_monthly_revenue[[#This Row],[monthly_revenue]] - agg_orders_monthly_revenue[[#This Row],[LastYearRevenue]]) / agg_orders_monthly_revenue[[#This Row],[LastYearRevenue]],
        2
    ),
    ""
)</f>
        <v>0.01</v>
      </c>
      <c r="F16">
        <v>12821</v>
      </c>
      <c r="G16">
        <f>YEAR(agg_orders_monthly_revenue[[#This Row],[Order_Date]])</f>
        <v>2025</v>
      </c>
      <c r="H16">
        <f>MONTH(agg_orders_monthly_revenue[[#This Row],[Order_Date]])</f>
        <v>3</v>
      </c>
      <c r="I16">
        <f>EDATE(agg_orders_monthly_revenue[[#This Row],[Order_Date]], -12)</f>
        <v>45352</v>
      </c>
      <c r="J16">
        <f>SUMIFS(
    agg_orders_monthly_revenue[monthly_revenue],
    agg_orders_monthly_revenue[Year], agg_orders_monthly_revenue[[#This Row],[Year]] - 1,
    agg_orders_monthly_revenue[Month], agg_orders_monthly_revenue[[#This Row],[Month]]
)</f>
        <v>15825128</v>
      </c>
    </row>
    <row r="17" spans="1:10" x14ac:dyDescent="0.4">
      <c r="A17" s="4">
        <v>45748</v>
      </c>
      <c r="B17" s="4" t="str">
        <f>TEXT(agg_orders_monthly_revenue[[#This Row],[Order_Date]], "yyyy-mm")</f>
        <v>2025-04</v>
      </c>
      <c r="C17">
        <v>15263784</v>
      </c>
      <c r="D17">
        <v>-4.6399999999999997</v>
      </c>
      <c r="E17">
        <f>IFERROR(
    ROUND(
        (agg_orders_monthly_revenue[[#This Row],[monthly_revenue]] - agg_orders_monthly_revenue[[#This Row],[LastYearRevenue]]) / agg_orders_monthly_revenue[[#This Row],[LastYearRevenue]],
        2
    ),
    ""
)</f>
        <v>0</v>
      </c>
      <c r="F17">
        <v>12317</v>
      </c>
      <c r="G17">
        <f>YEAR(agg_orders_monthly_revenue[[#This Row],[Order_Date]])</f>
        <v>2025</v>
      </c>
      <c r="H17">
        <f>MONTH(agg_orders_monthly_revenue[[#This Row],[Order_Date]])</f>
        <v>4</v>
      </c>
      <c r="I17">
        <f>EDATE(agg_orders_monthly_revenue[[#This Row],[Order_Date]], -12)</f>
        <v>45383</v>
      </c>
      <c r="J17">
        <f>SUMIFS(
    agg_orders_monthly_revenue[monthly_revenue],
    agg_orders_monthly_revenue[Year], agg_orders_monthly_revenue[[#This Row],[Year]] - 1,
    agg_orders_monthly_revenue[Month], agg_orders_monthly_revenue[[#This Row],[Month]]
)</f>
        <v>15262436</v>
      </c>
    </row>
    <row r="18" spans="1:10" x14ac:dyDescent="0.4">
      <c r="A18" s="4">
        <v>45778</v>
      </c>
      <c r="B18" s="4" t="str">
        <f>TEXT(agg_orders_monthly_revenue[[#This Row],[Order_Date]], "yyyy-mm")</f>
        <v>2025-05</v>
      </c>
      <c r="C18">
        <v>15728019</v>
      </c>
      <c r="D18">
        <v>3.04</v>
      </c>
      <c r="E18">
        <f>IFERROR(
    ROUND(
        (agg_orders_monthly_revenue[[#This Row],[monthly_revenue]] - agg_orders_monthly_revenue[[#This Row],[LastYearRevenue]]) / agg_orders_monthly_revenue[[#This Row],[LastYearRevenue]],
        2
    ),
    ""
)</f>
        <v>0</v>
      </c>
      <c r="F18">
        <v>12563</v>
      </c>
      <c r="G18">
        <f>YEAR(agg_orders_monthly_revenue[[#This Row],[Order_Date]])</f>
        <v>2025</v>
      </c>
      <c r="H18">
        <f>MONTH(agg_orders_monthly_revenue[[#This Row],[Order_Date]])</f>
        <v>5</v>
      </c>
      <c r="I18">
        <f>EDATE(agg_orders_monthly_revenue[[#This Row],[Order_Date]], -12)</f>
        <v>45413</v>
      </c>
      <c r="J18">
        <f>SUMIFS(
    agg_orders_monthly_revenue[monthly_revenue],
    agg_orders_monthly_revenue[Year], agg_orders_monthly_revenue[[#This Row],[Year]] - 1,
    agg_orders_monthly_revenue[Month], agg_orders_monthly_revenue[[#This Row],[Month]]
)</f>
        <v>15726187</v>
      </c>
    </row>
    <row r="19" spans="1:10" x14ac:dyDescent="0.4">
      <c r="A19" s="4">
        <v>45809</v>
      </c>
      <c r="B19" s="4" t="str">
        <f>TEXT(agg_orders_monthly_revenue[[#This Row],[Order_Date]], "yyyy-mm")</f>
        <v>2025-06</v>
      </c>
      <c r="C19">
        <v>15327545</v>
      </c>
      <c r="D19">
        <v>-2.5499999999999998</v>
      </c>
      <c r="E19">
        <f>IFERROR(
    ROUND(
        (agg_orders_monthly_revenue[[#This Row],[monthly_revenue]] - agg_orders_monthly_revenue[[#This Row],[LastYearRevenue]]) / agg_orders_monthly_revenue[[#This Row],[LastYearRevenue]],
        2
    ),
    ""
)</f>
        <v>0</v>
      </c>
      <c r="F19">
        <v>12243</v>
      </c>
      <c r="G19">
        <f>YEAR(agg_orders_monthly_revenue[[#This Row],[Order_Date]])</f>
        <v>2025</v>
      </c>
      <c r="H19">
        <f>MONTH(agg_orders_monthly_revenue[[#This Row],[Order_Date]])</f>
        <v>6</v>
      </c>
      <c r="I19">
        <f>EDATE(agg_orders_monthly_revenue[[#This Row],[Order_Date]], -12)</f>
        <v>45444</v>
      </c>
      <c r="J19">
        <f>SUMIFS(
    agg_orders_monthly_revenue[monthly_revenue],
    agg_orders_monthly_revenue[Year], agg_orders_monthly_revenue[[#This Row],[Year]] - 1,
    agg_orders_monthly_revenue[Month], agg_orders_monthly_revenue[[#This Row],[Month]]
)</f>
        <v>15361932</v>
      </c>
    </row>
    <row r="20" spans="1:10" x14ac:dyDescent="0.4">
      <c r="A20" s="4">
        <v>45839</v>
      </c>
      <c r="B20" s="4" t="str">
        <f>TEXT(agg_orders_monthly_revenue[[#This Row],[Order_Date]], "yyyy-mm")</f>
        <v>2025-07</v>
      </c>
      <c r="C20">
        <v>15847679</v>
      </c>
      <c r="D20">
        <v>3.39</v>
      </c>
      <c r="E20">
        <f>IFERROR(
    ROUND(
        (agg_orders_monthly_revenue[[#This Row],[monthly_revenue]] - agg_orders_monthly_revenue[[#This Row],[LastYearRevenue]]) / agg_orders_monthly_revenue[[#This Row],[LastYearRevenue]],
        2
    ),
    ""
)</f>
        <v>-0.01</v>
      </c>
      <c r="F20">
        <v>12735</v>
      </c>
      <c r="G20">
        <f>YEAR(agg_orders_monthly_revenue[[#This Row],[Order_Date]])</f>
        <v>2025</v>
      </c>
      <c r="H20">
        <f>MONTH(agg_orders_monthly_revenue[[#This Row],[Order_Date]])</f>
        <v>7</v>
      </c>
      <c r="I20">
        <f>EDATE(agg_orders_monthly_revenue[[#This Row],[Order_Date]], -12)</f>
        <v>45474</v>
      </c>
      <c r="J20">
        <f>SUMIFS(
    agg_orders_monthly_revenue[monthly_revenue],
    agg_orders_monthly_revenue[Year], agg_orders_monthly_revenue[[#This Row],[Year]] - 1,
    agg_orders_monthly_revenue[Month], agg_orders_monthly_revenue[[#This Row],[Month]]
)</f>
        <v>15995406</v>
      </c>
    </row>
    <row r="21" spans="1:10" x14ac:dyDescent="0.4">
      <c r="A21" s="4">
        <v>45870</v>
      </c>
      <c r="B21" s="4" t="str">
        <f>TEXT(agg_orders_monthly_revenue[[#This Row],[Order_Date]], "yyyy-mm")</f>
        <v>2025-08</v>
      </c>
      <c r="C21">
        <v>15880968</v>
      </c>
      <c r="D21">
        <v>0.21</v>
      </c>
      <c r="E21">
        <f>IFERROR(
    ROUND(
        (agg_orders_monthly_revenue[[#This Row],[monthly_revenue]] - agg_orders_monthly_revenue[[#This Row],[LastYearRevenue]]) / agg_orders_monthly_revenue[[#This Row],[LastYearRevenue]],
        2
    ),
    ""
)</f>
        <v>-0.01</v>
      </c>
      <c r="F21">
        <v>12755</v>
      </c>
      <c r="G21">
        <f>YEAR(agg_orders_monthly_revenue[[#This Row],[Order_Date]])</f>
        <v>2025</v>
      </c>
      <c r="H21">
        <f>MONTH(agg_orders_monthly_revenue[[#This Row],[Order_Date]])</f>
        <v>8</v>
      </c>
      <c r="I21">
        <f>EDATE(agg_orders_monthly_revenue[[#This Row],[Order_Date]], -12)</f>
        <v>45505</v>
      </c>
      <c r="J21">
        <f>SUMIFS(
    agg_orders_monthly_revenue[monthly_revenue],
    agg_orders_monthly_revenue[Year], agg_orders_monthly_revenue[[#This Row],[Year]] - 1,
    agg_orders_monthly_revenue[Month], agg_orders_monthly_revenue[[#This Row],[Month]]
)</f>
        <v>16011404</v>
      </c>
    </row>
    <row r="22" spans="1:10" x14ac:dyDescent="0.4">
      <c r="A22" s="4">
        <v>45901</v>
      </c>
      <c r="B22" s="4" t="str">
        <f>TEXT(agg_orders_monthly_revenue[[#This Row],[Order_Date]], "yyyy-mm")</f>
        <v>2025-09</v>
      </c>
      <c r="C22">
        <v>15274213</v>
      </c>
      <c r="D22">
        <v>-3.82</v>
      </c>
      <c r="E22">
        <f>IFERROR(
    ROUND(
        (agg_orders_monthly_revenue[[#This Row],[monthly_revenue]] - agg_orders_monthly_revenue[[#This Row],[LastYearRevenue]]) / agg_orders_monthly_revenue[[#This Row],[LastYearRevenue]],
        2
    ),
    ""
)</f>
        <v>0</v>
      </c>
      <c r="F22">
        <v>12364</v>
      </c>
      <c r="G22">
        <f>YEAR(agg_orders_monthly_revenue[[#This Row],[Order_Date]])</f>
        <v>2025</v>
      </c>
      <c r="H22">
        <f>MONTH(agg_orders_monthly_revenue[[#This Row],[Order_Date]])</f>
        <v>9</v>
      </c>
      <c r="I22">
        <f>EDATE(agg_orders_monthly_revenue[[#This Row],[Order_Date]], -12)</f>
        <v>45536</v>
      </c>
      <c r="J22">
        <f>SUMIFS(
    agg_orders_monthly_revenue[monthly_revenue],
    agg_orders_monthly_revenue[Year], agg_orders_monthly_revenue[[#This Row],[Year]] - 1,
    agg_orders_monthly_revenue[Month], agg_orders_monthly_revenue[[#This Row],[Month]]
)</f>
        <v>15248803</v>
      </c>
    </row>
    <row r="23" spans="1:10" x14ac:dyDescent="0.4">
      <c r="A23" s="4">
        <v>45931</v>
      </c>
      <c r="B23" s="4" t="str">
        <f>TEXT(agg_orders_monthly_revenue[[#This Row],[Order_Date]], "yyyy-mm")</f>
        <v>2025-10</v>
      </c>
      <c r="C23">
        <v>15735593</v>
      </c>
      <c r="D23">
        <v>3.02</v>
      </c>
      <c r="E23">
        <f>IFERROR(
    ROUND(
        (agg_orders_monthly_revenue[[#This Row],[monthly_revenue]] - agg_orders_monthly_revenue[[#This Row],[LastYearRevenue]]) / agg_orders_monthly_revenue[[#This Row],[LastYearRevenue]],
        2
    ),
    ""
)</f>
        <v>-0.01</v>
      </c>
      <c r="F23">
        <v>12654</v>
      </c>
      <c r="G23">
        <f>YEAR(agg_orders_monthly_revenue[[#This Row],[Order_Date]])</f>
        <v>2025</v>
      </c>
      <c r="H23">
        <f>MONTH(agg_orders_monthly_revenue[[#This Row],[Order_Date]])</f>
        <v>10</v>
      </c>
      <c r="I23">
        <f>EDATE(agg_orders_monthly_revenue[[#This Row],[Order_Date]], -12)</f>
        <v>45566</v>
      </c>
      <c r="J23">
        <f>SUMIFS(
    agg_orders_monthly_revenue[monthly_revenue],
    agg_orders_monthly_revenue[Year], agg_orders_monthly_revenue[[#This Row],[Year]] - 1,
    agg_orders_monthly_revenue[Month], agg_orders_monthly_revenue[[#This Row],[Month]]
)</f>
        <v>15891827</v>
      </c>
    </row>
    <row r="24" spans="1:10" x14ac:dyDescent="0.4">
      <c r="A24" s="4">
        <v>45962</v>
      </c>
      <c r="B24" s="4" t="str">
        <f>TEXT(agg_orders_monthly_revenue[[#This Row],[Order_Date]], "yyyy-mm")</f>
        <v>2025-11</v>
      </c>
      <c r="C24">
        <v>15335526</v>
      </c>
      <c r="D24">
        <v>-2.54</v>
      </c>
      <c r="E24">
        <f>IFERROR(
    ROUND(
        (agg_orders_monthly_revenue[[#This Row],[monthly_revenue]] - agg_orders_monthly_revenue[[#This Row],[LastYearRevenue]]) / agg_orders_monthly_revenue[[#This Row],[LastYearRevenue]],
        2
    ),
    ""
)</f>
        <v>0</v>
      </c>
      <c r="F24">
        <v>12323</v>
      </c>
      <c r="G24">
        <f>YEAR(agg_orders_monthly_revenue[[#This Row],[Order_Date]])</f>
        <v>2025</v>
      </c>
      <c r="H24">
        <f>MONTH(agg_orders_monthly_revenue[[#This Row],[Order_Date]])</f>
        <v>11</v>
      </c>
      <c r="I24">
        <f>EDATE(agg_orders_monthly_revenue[[#This Row],[Order_Date]], -12)</f>
        <v>45597</v>
      </c>
      <c r="J24">
        <f>SUMIFS(
    agg_orders_monthly_revenue[monthly_revenue],
    agg_orders_monthly_revenue[Year], agg_orders_monthly_revenue[[#This Row],[Year]] - 1,
    agg_orders_monthly_revenue[Month], agg_orders_monthly_revenue[[#This Row],[Month]]
)</f>
        <v>15284669</v>
      </c>
    </row>
    <row r="25" spans="1:10" x14ac:dyDescent="0.4">
      <c r="A25" s="4">
        <v>45992</v>
      </c>
      <c r="B25" s="4" t="str">
        <f>TEXT(agg_orders_monthly_revenue[[#This Row],[Order_Date]], "yyyy-mm")</f>
        <v>2025-12</v>
      </c>
      <c r="C25">
        <v>16188285</v>
      </c>
      <c r="D25">
        <v>5.56</v>
      </c>
      <c r="E25">
        <f>IFERROR(
    ROUND(
        (agg_orders_monthly_revenue[[#This Row],[monthly_revenue]] - agg_orders_monthly_revenue[[#This Row],[LastYearRevenue]]) / agg_orders_monthly_revenue[[#This Row],[LastYearRevenue]],
        2
    ),
    ""
)</f>
        <v>0.03</v>
      </c>
      <c r="F25">
        <v>13020</v>
      </c>
      <c r="G25">
        <f>YEAR(agg_orders_monthly_revenue[[#This Row],[Order_Date]])</f>
        <v>2025</v>
      </c>
      <c r="H25">
        <f>MONTH(agg_orders_monthly_revenue[[#This Row],[Order_Date]])</f>
        <v>12</v>
      </c>
      <c r="I25">
        <f>EDATE(agg_orders_monthly_revenue[[#This Row],[Order_Date]], -12)</f>
        <v>45627</v>
      </c>
      <c r="J25">
        <f>SUMIFS(
    agg_orders_monthly_revenue[monthly_revenue],
    agg_orders_monthly_revenue[Year], agg_orders_monthly_revenue[[#This Row],[Year]] - 1,
    agg_orders_monthly_revenue[Month], agg_orders_monthly_revenue[[#This Row],[Month]]
)</f>
        <v>15696731</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92B1-486F-4248-9644-C642110E651A}">
  <dimension ref="A1:C53"/>
  <sheetViews>
    <sheetView workbookViewId="0">
      <selection activeCell="L42" sqref="L42"/>
    </sheetView>
  </sheetViews>
  <sheetFormatPr defaultRowHeight="13.9" x14ac:dyDescent="0.4"/>
  <cols>
    <col min="1" max="1" width="13.1328125" bestFit="1" customWidth="1"/>
    <col min="2" max="2" width="22.46484375" bestFit="1" customWidth="1"/>
    <col min="3" max="3" width="23.796875" customWidth="1"/>
    <col min="4" max="4" width="22.46484375" bestFit="1" customWidth="1"/>
  </cols>
  <sheetData>
    <row r="1" spans="1:3" x14ac:dyDescent="0.4">
      <c r="A1" s="2" t="s">
        <v>36</v>
      </c>
      <c r="B1" t="s">
        <v>82</v>
      </c>
      <c r="C1" t="s">
        <v>83</v>
      </c>
    </row>
    <row r="2" spans="1:3" x14ac:dyDescent="0.4">
      <c r="A2" s="3" t="s">
        <v>37</v>
      </c>
      <c r="B2">
        <v>15767553</v>
      </c>
    </row>
    <row r="3" spans="1:3" x14ac:dyDescent="0.4">
      <c r="A3" s="3" t="s">
        <v>38</v>
      </c>
      <c r="B3">
        <v>14736893</v>
      </c>
      <c r="C3">
        <v>-6.54</v>
      </c>
    </row>
    <row r="4" spans="1:3" x14ac:dyDescent="0.4">
      <c r="A4" s="3" t="s">
        <v>39</v>
      </c>
      <c r="B4">
        <v>15825128</v>
      </c>
      <c r="C4">
        <v>7.38</v>
      </c>
    </row>
    <row r="5" spans="1:3" x14ac:dyDescent="0.4">
      <c r="A5" s="3" t="s">
        <v>40</v>
      </c>
      <c r="B5">
        <v>15262436</v>
      </c>
      <c r="C5">
        <v>-3.56</v>
      </c>
    </row>
    <row r="6" spans="1:3" x14ac:dyDescent="0.4">
      <c r="A6" s="3" t="s">
        <v>41</v>
      </c>
      <c r="B6">
        <v>15726187</v>
      </c>
      <c r="C6">
        <v>3.04</v>
      </c>
    </row>
    <row r="7" spans="1:3" x14ac:dyDescent="0.4">
      <c r="A7" s="3" t="s">
        <v>42</v>
      </c>
      <c r="B7">
        <v>15361932</v>
      </c>
      <c r="C7">
        <v>-2.3199999999999998</v>
      </c>
    </row>
    <row r="8" spans="1:3" x14ac:dyDescent="0.4">
      <c r="A8" s="3" t="s">
        <v>43</v>
      </c>
      <c r="B8">
        <v>15995406</v>
      </c>
      <c r="C8">
        <v>4.12</v>
      </c>
    </row>
    <row r="9" spans="1:3" x14ac:dyDescent="0.4">
      <c r="A9" s="3" t="s">
        <v>44</v>
      </c>
      <c r="B9">
        <v>16011404</v>
      </c>
      <c r="C9">
        <v>0.1</v>
      </c>
    </row>
    <row r="10" spans="1:3" x14ac:dyDescent="0.4">
      <c r="A10" s="3" t="s">
        <v>45</v>
      </c>
      <c r="B10">
        <v>15248803</v>
      </c>
      <c r="C10">
        <v>-4.76</v>
      </c>
    </row>
    <row r="11" spans="1:3" x14ac:dyDescent="0.4">
      <c r="A11" s="3" t="s">
        <v>46</v>
      </c>
      <c r="B11">
        <v>15891827</v>
      </c>
      <c r="C11">
        <v>4.22</v>
      </c>
    </row>
    <row r="12" spans="1:3" x14ac:dyDescent="0.4">
      <c r="A12" s="3" t="s">
        <v>47</v>
      </c>
      <c r="B12">
        <v>15284669</v>
      </c>
      <c r="C12">
        <v>-3.82</v>
      </c>
    </row>
    <row r="13" spans="1:3" x14ac:dyDescent="0.4">
      <c r="A13" s="3" t="s">
        <v>48</v>
      </c>
      <c r="B13">
        <v>15696731</v>
      </c>
      <c r="C13">
        <v>2.7</v>
      </c>
    </row>
    <row r="14" spans="1:3" x14ac:dyDescent="0.4">
      <c r="A14" s="3" t="s">
        <v>49</v>
      </c>
      <c r="B14">
        <v>15703282</v>
      </c>
      <c r="C14">
        <v>0.04</v>
      </c>
    </row>
    <row r="15" spans="1:3" x14ac:dyDescent="0.4">
      <c r="A15" s="3" t="s">
        <v>50</v>
      </c>
      <c r="B15">
        <v>14289832</v>
      </c>
      <c r="C15">
        <v>-9</v>
      </c>
    </row>
    <row r="16" spans="1:3" x14ac:dyDescent="0.4">
      <c r="A16" s="3" t="s">
        <v>51</v>
      </c>
      <c r="B16">
        <v>16005941</v>
      </c>
      <c r="C16">
        <v>12.01</v>
      </c>
    </row>
    <row r="17" spans="1:3" x14ac:dyDescent="0.4">
      <c r="A17" s="3" t="s">
        <v>52</v>
      </c>
      <c r="B17">
        <v>15263784</v>
      </c>
      <c r="C17">
        <v>-4.6399999999999997</v>
      </c>
    </row>
    <row r="18" spans="1:3" x14ac:dyDescent="0.4">
      <c r="A18" s="3" t="s">
        <v>53</v>
      </c>
      <c r="B18">
        <v>15728019</v>
      </c>
      <c r="C18">
        <v>3.04</v>
      </c>
    </row>
    <row r="19" spans="1:3" x14ac:dyDescent="0.4">
      <c r="A19" s="3" t="s">
        <v>54</v>
      </c>
      <c r="B19">
        <v>15327545</v>
      </c>
      <c r="C19">
        <v>-2.5499999999999998</v>
      </c>
    </row>
    <row r="20" spans="1:3" x14ac:dyDescent="0.4">
      <c r="A20" s="3" t="s">
        <v>55</v>
      </c>
      <c r="B20">
        <v>15847679</v>
      </c>
      <c r="C20">
        <v>3.39</v>
      </c>
    </row>
    <row r="21" spans="1:3" x14ac:dyDescent="0.4">
      <c r="A21" s="3" t="s">
        <v>56</v>
      </c>
      <c r="B21">
        <v>15880968</v>
      </c>
      <c r="C21">
        <v>0.21</v>
      </c>
    </row>
    <row r="22" spans="1:3" x14ac:dyDescent="0.4">
      <c r="A22" s="3" t="s">
        <v>57</v>
      </c>
      <c r="B22">
        <v>15274213</v>
      </c>
      <c r="C22">
        <v>-3.82</v>
      </c>
    </row>
    <row r="23" spans="1:3" x14ac:dyDescent="0.4">
      <c r="A23" s="3" t="s">
        <v>58</v>
      </c>
      <c r="B23">
        <v>15735593</v>
      </c>
      <c r="C23">
        <v>3.02</v>
      </c>
    </row>
    <row r="24" spans="1:3" x14ac:dyDescent="0.4">
      <c r="A24" s="3" t="s">
        <v>59</v>
      </c>
      <c r="B24">
        <v>15335526</v>
      </c>
      <c r="C24">
        <v>-2.54</v>
      </c>
    </row>
    <row r="25" spans="1:3" x14ac:dyDescent="0.4">
      <c r="A25" s="3" t="s">
        <v>60</v>
      </c>
      <c r="B25">
        <v>16188285</v>
      </c>
      <c r="C25">
        <v>5.56</v>
      </c>
    </row>
    <row r="26" spans="1:3" x14ac:dyDescent="0.4">
      <c r="A26" s="3" t="s">
        <v>61</v>
      </c>
      <c r="B26">
        <v>373389636</v>
      </c>
      <c r="C26">
        <v>12.01</v>
      </c>
    </row>
    <row r="28" spans="1:3" x14ac:dyDescent="0.4">
      <c r="A28" s="2" t="s">
        <v>36</v>
      </c>
      <c r="B28" t="s">
        <v>84</v>
      </c>
      <c r="C28" t="s">
        <v>82</v>
      </c>
    </row>
    <row r="29" spans="1:3" x14ac:dyDescent="0.4">
      <c r="A29" s="3" t="s">
        <v>37</v>
      </c>
      <c r="B29">
        <v>0</v>
      </c>
      <c r="C29">
        <v>15767553</v>
      </c>
    </row>
    <row r="30" spans="1:3" x14ac:dyDescent="0.4">
      <c r="A30" s="3" t="s">
        <v>38</v>
      </c>
      <c r="B30">
        <v>0</v>
      </c>
      <c r="C30">
        <v>14736893</v>
      </c>
    </row>
    <row r="31" spans="1:3" x14ac:dyDescent="0.4">
      <c r="A31" s="3" t="s">
        <v>39</v>
      </c>
      <c r="B31">
        <v>0</v>
      </c>
      <c r="C31">
        <v>15825128</v>
      </c>
    </row>
    <row r="32" spans="1:3" x14ac:dyDescent="0.4">
      <c r="A32" s="3" t="s">
        <v>40</v>
      </c>
      <c r="B32">
        <v>0</v>
      </c>
      <c r="C32">
        <v>15262436</v>
      </c>
    </row>
    <row r="33" spans="1:3" x14ac:dyDescent="0.4">
      <c r="A33" s="3" t="s">
        <v>41</v>
      </c>
      <c r="B33">
        <v>0</v>
      </c>
      <c r="C33">
        <v>15726187</v>
      </c>
    </row>
    <row r="34" spans="1:3" x14ac:dyDescent="0.4">
      <c r="A34" s="3" t="s">
        <v>42</v>
      </c>
      <c r="B34">
        <v>0</v>
      </c>
      <c r="C34">
        <v>15361932</v>
      </c>
    </row>
    <row r="35" spans="1:3" x14ac:dyDescent="0.4">
      <c r="A35" s="3" t="s">
        <v>43</v>
      </c>
      <c r="B35">
        <v>0</v>
      </c>
      <c r="C35">
        <v>15995406</v>
      </c>
    </row>
    <row r="36" spans="1:3" x14ac:dyDescent="0.4">
      <c r="A36" s="3" t="s">
        <v>44</v>
      </c>
      <c r="B36">
        <v>0</v>
      </c>
      <c r="C36">
        <v>16011404</v>
      </c>
    </row>
    <row r="37" spans="1:3" x14ac:dyDescent="0.4">
      <c r="A37" s="3" t="s">
        <v>45</v>
      </c>
      <c r="B37">
        <v>0</v>
      </c>
      <c r="C37">
        <v>15248803</v>
      </c>
    </row>
    <row r="38" spans="1:3" x14ac:dyDescent="0.4">
      <c r="A38" s="3" t="s">
        <v>46</v>
      </c>
      <c r="B38">
        <v>0</v>
      </c>
      <c r="C38">
        <v>15891827</v>
      </c>
    </row>
    <row r="39" spans="1:3" x14ac:dyDescent="0.4">
      <c r="A39" s="3" t="s">
        <v>47</v>
      </c>
      <c r="B39">
        <v>0</v>
      </c>
      <c r="C39">
        <v>15284669</v>
      </c>
    </row>
    <row r="40" spans="1:3" x14ac:dyDescent="0.4">
      <c r="A40" s="3" t="s">
        <v>48</v>
      </c>
      <c r="B40">
        <v>0</v>
      </c>
      <c r="C40">
        <v>15696731</v>
      </c>
    </row>
    <row r="41" spans="1:3" x14ac:dyDescent="0.4">
      <c r="A41" s="3" t="s">
        <v>49</v>
      </c>
      <c r="B41">
        <v>0</v>
      </c>
      <c r="C41">
        <v>15703282</v>
      </c>
    </row>
    <row r="42" spans="1:3" x14ac:dyDescent="0.4">
      <c r="A42" s="3" t="s">
        <v>50</v>
      </c>
      <c r="B42">
        <v>-0.03</v>
      </c>
      <c r="C42">
        <v>14289832</v>
      </c>
    </row>
    <row r="43" spans="1:3" x14ac:dyDescent="0.4">
      <c r="A43" s="3" t="s">
        <v>51</v>
      </c>
      <c r="B43">
        <v>0.01</v>
      </c>
      <c r="C43">
        <v>16005941</v>
      </c>
    </row>
    <row r="44" spans="1:3" x14ac:dyDescent="0.4">
      <c r="A44" s="3" t="s">
        <v>52</v>
      </c>
      <c r="B44">
        <v>0</v>
      </c>
      <c r="C44">
        <v>15263784</v>
      </c>
    </row>
    <row r="45" spans="1:3" x14ac:dyDescent="0.4">
      <c r="A45" s="3" t="s">
        <v>53</v>
      </c>
      <c r="B45">
        <v>0</v>
      </c>
      <c r="C45">
        <v>15728019</v>
      </c>
    </row>
    <row r="46" spans="1:3" x14ac:dyDescent="0.4">
      <c r="A46" s="3" t="s">
        <v>54</v>
      </c>
      <c r="B46">
        <v>0</v>
      </c>
      <c r="C46">
        <v>15327545</v>
      </c>
    </row>
    <row r="47" spans="1:3" x14ac:dyDescent="0.4">
      <c r="A47" s="3" t="s">
        <v>55</v>
      </c>
      <c r="B47">
        <v>-0.01</v>
      </c>
      <c r="C47">
        <v>15847679</v>
      </c>
    </row>
    <row r="48" spans="1:3" x14ac:dyDescent="0.4">
      <c r="A48" s="3" t="s">
        <v>56</v>
      </c>
      <c r="B48">
        <v>-0.01</v>
      </c>
      <c r="C48">
        <v>15880968</v>
      </c>
    </row>
    <row r="49" spans="1:3" x14ac:dyDescent="0.4">
      <c r="A49" s="3" t="s">
        <v>57</v>
      </c>
      <c r="B49">
        <v>0</v>
      </c>
      <c r="C49">
        <v>15274213</v>
      </c>
    </row>
    <row r="50" spans="1:3" x14ac:dyDescent="0.4">
      <c r="A50" s="3" t="s">
        <v>58</v>
      </c>
      <c r="B50">
        <v>-0.01</v>
      </c>
      <c r="C50">
        <v>15735593</v>
      </c>
    </row>
    <row r="51" spans="1:3" x14ac:dyDescent="0.4">
      <c r="A51" s="3" t="s">
        <v>59</v>
      </c>
      <c r="B51">
        <v>0</v>
      </c>
      <c r="C51">
        <v>15335526</v>
      </c>
    </row>
    <row r="52" spans="1:3" x14ac:dyDescent="0.4">
      <c r="A52" s="3" t="s">
        <v>60</v>
      </c>
      <c r="B52">
        <v>0.03</v>
      </c>
      <c r="C52">
        <v>16188285</v>
      </c>
    </row>
    <row r="53" spans="1:3" x14ac:dyDescent="0.4">
      <c r="A53" s="3" t="s">
        <v>61</v>
      </c>
      <c r="B53">
        <v>0.03</v>
      </c>
      <c r="C53">
        <v>373389636</v>
      </c>
    </row>
  </sheetData>
  <phoneticPr fontId="1" type="noConversion"/>
  <conditionalFormatting sqref="B28:B52">
    <cfRule type="iconSet" priority="1">
      <iconSet iconSet="3Arrows">
        <cfvo type="percent" val="0"/>
        <cfvo type="percent" val="33"/>
        <cfvo type="percent" val="67"/>
      </iconSet>
    </cfRule>
  </conditionalFormatting>
  <conditionalFormatting sqref="C1:C25">
    <cfRule type="iconSet" priority="2">
      <iconSet iconSet="3Arrows">
        <cfvo type="percent" val="0"/>
        <cfvo type="percent" val="33"/>
        <cfvo type="percent" val="67"/>
      </iconSet>
    </cfRule>
  </conditionalFormatting>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37162-772F-4C10-8BB9-ADB6C3351877}">
  <dimension ref="A1:I57"/>
  <sheetViews>
    <sheetView topLeftCell="A28" zoomScale="90" zoomScaleNormal="90" workbookViewId="0">
      <selection activeCell="L59" sqref="L59"/>
    </sheetView>
  </sheetViews>
  <sheetFormatPr defaultRowHeight="13.9" x14ac:dyDescent="0.4"/>
  <cols>
    <col min="1" max="1" width="10.3984375" bestFit="1" customWidth="1"/>
    <col min="2" max="2" width="15.265625" bestFit="1" customWidth="1"/>
    <col min="3" max="3" width="11.53125" bestFit="1" customWidth="1"/>
    <col min="4" max="4" width="13.9296875" bestFit="1" customWidth="1"/>
    <col min="5" max="5" width="13.59765625" bestFit="1" customWidth="1"/>
    <col min="6" max="6" width="16.59765625" bestFit="1" customWidth="1"/>
    <col min="7" max="7" width="7.1328125" bestFit="1" customWidth="1"/>
    <col min="8" max="8" width="19.1328125" bestFit="1" customWidth="1"/>
    <col min="9" max="9" width="23.19921875" customWidth="1"/>
    <col min="10" max="10" width="18.9296875" customWidth="1"/>
    <col min="11" max="11" width="13.1328125" bestFit="1" customWidth="1"/>
    <col min="12" max="12" width="20.265625" bestFit="1" customWidth="1"/>
  </cols>
  <sheetData>
    <row r="1" spans="1:9" x14ac:dyDescent="0.4">
      <c r="A1" t="s">
        <v>91</v>
      </c>
      <c r="B1" t="s">
        <v>1</v>
      </c>
      <c r="C1" t="s">
        <v>2</v>
      </c>
      <c r="D1" t="s">
        <v>3</v>
      </c>
      <c r="F1" s="2" t="s">
        <v>0</v>
      </c>
      <c r="G1" t="s">
        <v>4</v>
      </c>
      <c r="H1" s="2" t="s">
        <v>36</v>
      </c>
      <c r="I1" t="s">
        <v>86</v>
      </c>
    </row>
    <row r="2" spans="1:9" x14ac:dyDescent="0.4">
      <c r="A2" t="s">
        <v>4</v>
      </c>
      <c r="B2">
        <v>150658989</v>
      </c>
      <c r="C2">
        <v>0.40350000000000003</v>
      </c>
      <c r="D2">
        <v>99875</v>
      </c>
      <c r="H2" s="3" t="s">
        <v>4</v>
      </c>
      <c r="I2">
        <v>150658989</v>
      </c>
    </row>
    <row r="3" spans="1:9" x14ac:dyDescent="0.4">
      <c r="A3" t="s">
        <v>5</v>
      </c>
      <c r="B3">
        <v>120268275</v>
      </c>
      <c r="C3">
        <v>0.3221</v>
      </c>
      <c r="D3">
        <v>99865</v>
      </c>
      <c r="F3" t="s">
        <v>85</v>
      </c>
      <c r="H3" s="3" t="s">
        <v>5</v>
      </c>
      <c r="I3">
        <v>120268275</v>
      </c>
    </row>
    <row r="4" spans="1:9" x14ac:dyDescent="0.4">
      <c r="A4" t="s">
        <v>6</v>
      </c>
      <c r="B4">
        <v>102462372</v>
      </c>
      <c r="C4">
        <v>0.27439999999999998</v>
      </c>
      <c r="D4">
        <v>99855</v>
      </c>
      <c r="F4">
        <v>0.40350000000000003</v>
      </c>
      <c r="H4" s="3" t="s">
        <v>6</v>
      </c>
      <c r="I4">
        <v>102462372</v>
      </c>
    </row>
    <row r="5" spans="1:9" x14ac:dyDescent="0.4">
      <c r="H5" s="3" t="s">
        <v>61</v>
      </c>
      <c r="I5">
        <v>373389636</v>
      </c>
    </row>
    <row r="15" spans="1:9" x14ac:dyDescent="0.4">
      <c r="A15" s="5" t="s">
        <v>87</v>
      </c>
    </row>
    <row r="16" spans="1:9" x14ac:dyDescent="0.4">
      <c r="A16" t="s">
        <v>24</v>
      </c>
      <c r="B16" t="s">
        <v>1</v>
      </c>
      <c r="C16" t="s">
        <v>3</v>
      </c>
      <c r="E16" s="2" t="s">
        <v>36</v>
      </c>
      <c r="F16" t="s">
        <v>86</v>
      </c>
      <c r="G16" t="s">
        <v>63</v>
      </c>
    </row>
    <row r="17" spans="1:7" x14ac:dyDescent="0.4">
      <c r="A17" t="s">
        <v>25</v>
      </c>
      <c r="B17">
        <v>16939733</v>
      </c>
      <c r="C17">
        <v>16505</v>
      </c>
      <c r="E17" s="3" t="s">
        <v>25</v>
      </c>
      <c r="F17">
        <v>16939733</v>
      </c>
      <c r="G17">
        <v>16505</v>
      </c>
    </row>
    <row r="18" spans="1:7" x14ac:dyDescent="0.4">
      <c r="A18" t="s">
        <v>26</v>
      </c>
      <c r="B18">
        <v>17124789</v>
      </c>
      <c r="C18">
        <v>16615</v>
      </c>
      <c r="E18" s="3" t="s">
        <v>26</v>
      </c>
      <c r="F18">
        <v>17124789</v>
      </c>
      <c r="G18">
        <v>16615</v>
      </c>
    </row>
    <row r="19" spans="1:7" x14ac:dyDescent="0.4">
      <c r="A19" t="s">
        <v>27</v>
      </c>
      <c r="B19">
        <v>16901708</v>
      </c>
      <c r="C19">
        <v>16614</v>
      </c>
      <c r="E19" s="3" t="s">
        <v>27</v>
      </c>
      <c r="F19">
        <v>16901708</v>
      </c>
      <c r="G19">
        <v>16614</v>
      </c>
    </row>
    <row r="20" spans="1:7" x14ac:dyDescent="0.4">
      <c r="A20" t="s">
        <v>28</v>
      </c>
      <c r="B20">
        <v>17199616</v>
      </c>
      <c r="C20">
        <v>16688</v>
      </c>
      <c r="E20" s="3" t="s">
        <v>28</v>
      </c>
      <c r="F20">
        <v>17199616</v>
      </c>
      <c r="G20">
        <v>16688</v>
      </c>
    </row>
    <row r="21" spans="1:7" x14ac:dyDescent="0.4">
      <c r="A21" t="s">
        <v>29</v>
      </c>
      <c r="B21">
        <v>17116443</v>
      </c>
      <c r="C21">
        <v>16729</v>
      </c>
      <c r="E21" s="3" t="s">
        <v>29</v>
      </c>
      <c r="F21">
        <v>17116443</v>
      </c>
      <c r="G21">
        <v>16729</v>
      </c>
    </row>
    <row r="22" spans="1:7" x14ac:dyDescent="0.4">
      <c r="A22" t="s">
        <v>30</v>
      </c>
      <c r="B22">
        <v>17180083</v>
      </c>
      <c r="C22">
        <v>16704</v>
      </c>
      <c r="E22" s="3" t="s">
        <v>30</v>
      </c>
      <c r="F22">
        <v>17180083</v>
      </c>
      <c r="G22">
        <v>16704</v>
      </c>
    </row>
    <row r="23" spans="1:7" x14ac:dyDescent="0.4">
      <c r="E23" s="3" t="s">
        <v>61</v>
      </c>
      <c r="F23">
        <v>102462372</v>
      </c>
      <c r="G23">
        <v>99855</v>
      </c>
    </row>
    <row r="29" spans="1:7" x14ac:dyDescent="0.4">
      <c r="A29" s="5" t="s">
        <v>88</v>
      </c>
    </row>
    <row r="30" spans="1:7" x14ac:dyDescent="0.4">
      <c r="A30" t="s">
        <v>17</v>
      </c>
      <c r="B30" t="s">
        <v>1</v>
      </c>
      <c r="C30" t="s">
        <v>3</v>
      </c>
      <c r="E30" s="2" t="s">
        <v>36</v>
      </c>
      <c r="F30" t="s">
        <v>86</v>
      </c>
      <c r="G30" t="s">
        <v>63</v>
      </c>
    </row>
    <row r="31" spans="1:7" x14ac:dyDescent="0.4">
      <c r="A31" t="s">
        <v>18</v>
      </c>
      <c r="B31">
        <v>19876871</v>
      </c>
      <c r="C31">
        <v>16509</v>
      </c>
      <c r="E31" s="3" t="s">
        <v>18</v>
      </c>
      <c r="F31">
        <v>19876871</v>
      </c>
      <c r="G31">
        <v>16509</v>
      </c>
    </row>
    <row r="32" spans="1:7" x14ac:dyDescent="0.4">
      <c r="A32" t="s">
        <v>19</v>
      </c>
      <c r="B32">
        <v>19926196</v>
      </c>
      <c r="C32">
        <v>16532</v>
      </c>
      <c r="E32" s="3" t="s">
        <v>19</v>
      </c>
      <c r="F32">
        <v>19926196</v>
      </c>
      <c r="G32">
        <v>16532</v>
      </c>
    </row>
    <row r="33" spans="1:7" x14ac:dyDescent="0.4">
      <c r="A33" t="s">
        <v>20</v>
      </c>
      <c r="B33">
        <v>19920212</v>
      </c>
      <c r="C33">
        <v>16656</v>
      </c>
      <c r="E33" s="3" t="s">
        <v>20</v>
      </c>
      <c r="F33">
        <v>19920212</v>
      </c>
      <c r="G33">
        <v>16656</v>
      </c>
    </row>
    <row r="34" spans="1:7" x14ac:dyDescent="0.4">
      <c r="A34" t="s">
        <v>21</v>
      </c>
      <c r="B34">
        <v>20376658</v>
      </c>
      <c r="C34">
        <v>16834</v>
      </c>
      <c r="E34" s="3" t="s">
        <v>21</v>
      </c>
      <c r="F34">
        <v>20376658</v>
      </c>
      <c r="G34">
        <v>16834</v>
      </c>
    </row>
    <row r="35" spans="1:7" x14ac:dyDescent="0.4">
      <c r="A35" t="s">
        <v>22</v>
      </c>
      <c r="B35">
        <v>20077016</v>
      </c>
      <c r="C35">
        <v>16691</v>
      </c>
      <c r="E35" s="3" t="s">
        <v>22</v>
      </c>
      <c r="F35">
        <v>20077016</v>
      </c>
      <c r="G35">
        <v>16691</v>
      </c>
    </row>
    <row r="36" spans="1:7" x14ac:dyDescent="0.4">
      <c r="A36" t="s">
        <v>23</v>
      </c>
      <c r="B36">
        <v>20091322</v>
      </c>
      <c r="C36">
        <v>16643</v>
      </c>
      <c r="E36" s="3" t="s">
        <v>23</v>
      </c>
      <c r="F36">
        <v>20091322</v>
      </c>
      <c r="G36">
        <v>16643</v>
      </c>
    </row>
    <row r="37" spans="1:7" x14ac:dyDescent="0.4">
      <c r="E37" s="3" t="s">
        <v>61</v>
      </c>
      <c r="F37">
        <v>120268275</v>
      </c>
      <c r="G37">
        <v>99865</v>
      </c>
    </row>
    <row r="42" spans="1:7" x14ac:dyDescent="0.4">
      <c r="A42" s="5" t="s">
        <v>89</v>
      </c>
    </row>
    <row r="43" spans="1:7" x14ac:dyDescent="0.4">
      <c r="A43" t="s">
        <v>11</v>
      </c>
      <c r="B43" t="s">
        <v>1</v>
      </c>
      <c r="C43" t="s">
        <v>12</v>
      </c>
      <c r="D43" t="s">
        <v>3</v>
      </c>
      <c r="E43" s="2" t="s">
        <v>36</v>
      </c>
      <c r="F43" t="s">
        <v>86</v>
      </c>
      <c r="G43" t="s">
        <v>63</v>
      </c>
    </row>
    <row r="44" spans="1:7" x14ac:dyDescent="0.4">
      <c r="A44" t="s">
        <v>13</v>
      </c>
      <c r="B44">
        <v>37935856</v>
      </c>
      <c r="C44">
        <v>25.18</v>
      </c>
      <c r="D44">
        <v>25046</v>
      </c>
      <c r="E44" s="3" t="s">
        <v>13</v>
      </c>
      <c r="F44">
        <v>37935856</v>
      </c>
      <c r="G44">
        <v>25046</v>
      </c>
    </row>
    <row r="45" spans="1:7" x14ac:dyDescent="0.4">
      <c r="A45" t="s">
        <v>14</v>
      </c>
      <c r="B45">
        <v>37606169</v>
      </c>
      <c r="C45">
        <v>24.96</v>
      </c>
      <c r="D45">
        <v>24971</v>
      </c>
      <c r="E45" s="3" t="s">
        <v>14</v>
      </c>
      <c r="F45">
        <v>37606169</v>
      </c>
      <c r="G45">
        <v>24971</v>
      </c>
    </row>
    <row r="46" spans="1:7" x14ac:dyDescent="0.4">
      <c r="A46" t="s">
        <v>15</v>
      </c>
      <c r="B46">
        <v>37403664</v>
      </c>
      <c r="C46">
        <v>24.83</v>
      </c>
      <c r="D46">
        <v>24874</v>
      </c>
      <c r="E46" s="3" t="s">
        <v>15</v>
      </c>
      <c r="F46">
        <v>37403664</v>
      </c>
      <c r="G46">
        <v>24874</v>
      </c>
    </row>
    <row r="47" spans="1:7" x14ac:dyDescent="0.4">
      <c r="A47" t="s">
        <v>16</v>
      </c>
      <c r="B47">
        <v>37713300</v>
      </c>
      <c r="C47">
        <v>25.03</v>
      </c>
      <c r="D47">
        <v>24984</v>
      </c>
      <c r="E47" s="3" t="s">
        <v>16</v>
      </c>
      <c r="F47">
        <v>37713300</v>
      </c>
      <c r="G47">
        <v>24984</v>
      </c>
    </row>
    <row r="48" spans="1:7" x14ac:dyDescent="0.4">
      <c r="E48" s="3" t="s">
        <v>61</v>
      </c>
      <c r="F48">
        <v>150658989</v>
      </c>
      <c r="G48">
        <v>99875</v>
      </c>
    </row>
    <row r="52" spans="5:6" x14ac:dyDescent="0.4">
      <c r="E52" s="2" t="s">
        <v>36</v>
      </c>
      <c r="F52" t="s">
        <v>90</v>
      </c>
    </row>
    <row r="53" spans="5:6" x14ac:dyDescent="0.4">
      <c r="E53" s="3" t="s">
        <v>13</v>
      </c>
      <c r="F53">
        <v>25.18</v>
      </c>
    </row>
    <row r="54" spans="5:6" x14ac:dyDescent="0.4">
      <c r="E54" s="3" t="s">
        <v>14</v>
      </c>
      <c r="F54">
        <v>24.96</v>
      </c>
    </row>
    <row r="55" spans="5:6" x14ac:dyDescent="0.4">
      <c r="E55" s="3" t="s">
        <v>15</v>
      </c>
      <c r="F55">
        <v>24.83</v>
      </c>
    </row>
    <row r="56" spans="5:6" x14ac:dyDescent="0.4">
      <c r="E56" s="3" t="s">
        <v>16</v>
      </c>
      <c r="F56">
        <v>25.03</v>
      </c>
    </row>
    <row r="57" spans="5:6" x14ac:dyDescent="0.4">
      <c r="E57" s="3" t="s">
        <v>61</v>
      </c>
      <c r="F57">
        <v>100</v>
      </c>
    </row>
  </sheetData>
  <phoneticPr fontId="1" type="noConversion"/>
  <dataValidations count="1">
    <dataValidation type="list" allowBlank="1" showInputMessage="1" showErrorMessage="1" sqref="A7" xr:uid="{DFAAF8C2-70AE-43DC-AAE9-3E73C255B380}">
      <formula1>$A$2:$A$4</formula1>
    </dataValidation>
  </dataValidations>
  <pageMargins left="0.7" right="0.7" top="0.75" bottom="0.75" header="0.3" footer="0.3"/>
  <drawing r:id="rId7"/>
  <tableParts count="4">
    <tablePart r:id="rId8"/>
    <tablePart r:id="rId9"/>
    <tablePart r:id="rId10"/>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9721A6-F30D-4457-B974-3C76344265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agg_orders_daily_revenue</vt:lpstr>
      <vt:lpstr>pivot_Year_revenue</vt:lpstr>
      <vt:lpstr>pivot_WeekdayWeekend_revenue</vt:lpstr>
      <vt:lpstr>agg_orders_monthly_revenue</vt:lpstr>
      <vt:lpstr>pivot_YoY_MoM</vt:lpstr>
      <vt:lpstr>agg_orders_channel_revenue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carmenwang</dc:creator>
  <cp:lastModifiedBy>汪汪 王</cp:lastModifiedBy>
  <dcterms:created xsi:type="dcterms:W3CDTF">2015-06-05T18:17:20Z</dcterms:created>
  <dcterms:modified xsi:type="dcterms:W3CDTF">2026-06-30T09:30:00Z</dcterms:modified>
</cp:coreProperties>
</file>